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28389E77-7640-9E18-AD5C-E98E2F4A8B83}"/>
  <workbookPr codeName="ThisWorkbook"/>
  <mc:AlternateContent xmlns:mc="http://schemas.openxmlformats.org/markup-compatibility/2006">
    <mc:Choice Requires="x15">
      <x15ac:absPath xmlns:x15ac="http://schemas.microsoft.com/office/spreadsheetml/2010/11/ac" url="C:\Users\LDH\WPSDrive\1660133730\WPS企业云盘\上海华明电力设备制造有限公司\我的企业文档\ERP\"/>
    </mc:Choice>
  </mc:AlternateContent>
  <xr:revisionPtr revIDLastSave="0" documentId="13_ncr:1_{440354DD-B133-4787-9E41-D4F45AA01DAF}" xr6:coauthVersionLast="47" xr6:coauthVersionMax="47" xr10:uidLastSave="{00000000-0000-0000-0000-000000000000}"/>
  <bookViews>
    <workbookView xWindow="-110" yWindow="-110" windowWidth="19420" windowHeight="11500" xr2:uid="{00000000-000D-0000-FFFF-FFFF00000000}"/>
  </bookViews>
  <sheets>
    <sheet name="Sheet1" sheetId="1" r:id="rId1"/>
    <sheet name="ku" sheetId="3" state="hidden" r:id="rId2"/>
    <sheet name="Data Source" sheetId="4" state="hidden" r:id="rId3"/>
  </sheets>
  <functionGroups builtInGroupCount="19"/>
  <externalReferences>
    <externalReference r:id="rId4"/>
  </externalReferences>
  <definedNames>
    <definedName name="_xlnm._FilterDatabase" localSheetId="0" hidden="1">Sheet1!$AD$43:$AE$47</definedName>
    <definedName name="_xlnm.Print_Area" localSheetId="0">Sheet1!$A$1:$AJ$73</definedName>
    <definedName name="SHM_KX">[1]ku!$E$204:$F$204</definedName>
    <definedName name="单相空开">ku!$B$36:$D$36</definedName>
    <definedName name="底部图">INDEX(ku!$O:$O,MATCH(Sheet1!$H$56,ku!$N:$N,0))</definedName>
    <definedName name="机构电源">ku!$A$2:$A$3</definedName>
    <definedName name="加热单相空开带信号输出">ku!#REF!</definedName>
    <definedName name="加热来自非电机电源">ku!$B$65:$I$65</definedName>
    <definedName name="加热两相空开带信号输出">ku!#REF!</definedName>
    <definedName name="控制来自非电机电源">ku!$B$27:$I$27</definedName>
    <definedName name="两相空开">ku!$B$37:$D$37</definedName>
    <definedName name="配电流继电器实现闭锁">ku!$B$47:$C$47</definedName>
    <definedName name="三相电机_3AC">ku!$B$7:$C$7</definedName>
    <definedName name="三相电机_3ACN">ku!$B$6:$C$6</definedName>
    <definedName name="三相电机_3ACN频率_50">ku!$B$10:$C$10</definedName>
    <definedName name="三相电机_3ACN频率_60">ku!$B$11:$C$11</definedName>
    <definedName name="三相电机_3AC频率_50">ku!$B$12:$E$12</definedName>
    <definedName name="三相电机_3AC频率_60">ku!$B$13:$E$13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7" i="4" l="1"/>
  <c r="V57" i="4"/>
  <c r="AB56" i="4"/>
  <c r="V56" i="4"/>
  <c r="AB55" i="4"/>
  <c r="V55" i="4"/>
  <c r="AB54" i="4"/>
  <c r="V54" i="4"/>
  <c r="AB53" i="4"/>
  <c r="V53" i="4"/>
  <c r="AB52" i="4"/>
  <c r="V52" i="4"/>
  <c r="AB51" i="4"/>
  <c r="V51" i="4"/>
  <c r="AB50" i="4"/>
  <c r="V50" i="4"/>
  <c r="AB49" i="4"/>
  <c r="V49" i="4"/>
  <c r="AB48" i="4"/>
  <c r="V48" i="4"/>
  <c r="AB47" i="4"/>
  <c r="V47" i="4"/>
  <c r="AB46" i="4"/>
  <c r="V46" i="4"/>
  <c r="AB45" i="4"/>
  <c r="V45" i="4"/>
  <c r="AB44" i="4"/>
  <c r="V44" i="4"/>
  <c r="AB43" i="4"/>
  <c r="V43" i="4"/>
  <c r="AB42" i="4"/>
  <c r="V42" i="4"/>
  <c r="AB41" i="4"/>
  <c r="V41" i="4"/>
  <c r="AB40" i="4"/>
  <c r="V40" i="4"/>
  <c r="AB39" i="4"/>
  <c r="V39" i="4"/>
  <c r="AB38" i="4"/>
  <c r="V38" i="4"/>
  <c r="AB37" i="4"/>
  <c r="V37" i="4"/>
  <c r="AB36" i="4"/>
  <c r="V36" i="4"/>
  <c r="AB35" i="4"/>
  <c r="V35" i="4"/>
  <c r="AB34" i="4"/>
  <c r="V34" i="4"/>
  <c r="AB33" i="4"/>
  <c r="V33" i="4"/>
  <c r="AB32" i="4"/>
  <c r="V32" i="4"/>
  <c r="AB31" i="4"/>
  <c r="V31" i="4"/>
  <c r="AB30" i="4"/>
  <c r="V30" i="4"/>
  <c r="AB29" i="4"/>
  <c r="V29" i="4"/>
  <c r="AB28" i="4"/>
  <c r="V28" i="4"/>
  <c r="AB27" i="4"/>
  <c r="V27" i="4"/>
  <c r="AB26" i="4"/>
  <c r="V26" i="4"/>
  <c r="AB25" i="4"/>
  <c r="V25" i="4"/>
  <c r="AB24" i="4"/>
  <c r="V24" i="4"/>
  <c r="AB23" i="4"/>
  <c r="V23" i="4"/>
  <c r="AB22" i="4"/>
  <c r="V22" i="4"/>
  <c r="AB21" i="4"/>
  <c r="V21" i="4"/>
  <c r="AB20" i="4"/>
  <c r="V20" i="4"/>
  <c r="AB19" i="4"/>
  <c r="V19" i="4"/>
  <c r="AB18" i="4"/>
  <c r="V18" i="4"/>
  <c r="AB17" i="4"/>
  <c r="V17" i="4"/>
  <c r="AB16" i="4"/>
  <c r="V16" i="4"/>
  <c r="AB15" i="4"/>
  <c r="V15" i="4"/>
  <c r="AB14" i="4"/>
  <c r="V14" i="4"/>
  <c r="AB13" i="4"/>
  <c r="V13" i="4"/>
  <c r="AB12" i="4"/>
  <c r="V12" i="4"/>
  <c r="AB11" i="4"/>
  <c r="V11" i="4"/>
  <c r="AB10" i="4"/>
  <c r="V10" i="4"/>
  <c r="AB9" i="4"/>
  <c r="V9" i="4"/>
  <c r="AB8" i="4"/>
  <c r="V8" i="4"/>
  <c r="AB7" i="4"/>
  <c r="V7" i="4"/>
  <c r="AB6" i="4"/>
  <c r="V6" i="4"/>
  <c r="AB5" i="4"/>
  <c r="V5" i="4"/>
  <c r="AB4" i="4"/>
  <c r="V4" i="4"/>
  <c r="AB3" i="4"/>
  <c r="V3" i="4"/>
  <c r="AB2" i="4"/>
  <c r="V2" i="4"/>
  <c r="AB1" i="4"/>
  <c r="V1" i="4"/>
  <c r="B393" i="3"/>
  <c r="B392" i="3"/>
  <c r="B391" i="3"/>
  <c r="B390" i="3"/>
  <c r="B389" i="3"/>
  <c r="B388" i="3"/>
  <c r="B387" i="3"/>
  <c r="B386" i="3"/>
  <c r="B385" i="3"/>
  <c r="B384" i="3"/>
  <c r="B383" i="3"/>
  <c r="B382" i="3"/>
  <c r="B381" i="3"/>
  <c r="B380" i="3"/>
  <c r="A242" i="3"/>
  <c r="Z5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jia27</author>
  </authors>
  <commentList>
    <comment ref="H36" authorId="0" shapeId="0" xr:uid="{00000000-0006-0000-0000-000001000000}">
      <text>
        <r>
          <rPr>
            <sz val="10"/>
            <rFont val="宋体"/>
            <charset val="134"/>
          </rPr>
          <t>One N/O contact is provided as standard by HM for each status.</t>
        </r>
        <r>
          <rPr>
            <sz val="9"/>
            <rFont val="宋体"/>
            <charset val="134"/>
          </rPr>
          <t xml:space="preserve">
</t>
        </r>
      </text>
    </comment>
  </commentList>
</comments>
</file>

<file path=xl/sharedStrings.xml><?xml version="1.0" encoding="utf-8"?>
<sst xmlns="http://schemas.openxmlformats.org/spreadsheetml/2006/main" count="1005" uniqueCount="594">
  <si>
    <t>SHM-D motor Drive Order Specificaion</t>
  </si>
  <si>
    <t>HMJGD.V1.2</t>
  </si>
  <si>
    <t>Index:</t>
  </si>
  <si>
    <t>Rev. 00</t>
  </si>
  <si>
    <t>HM Documen No.:</t>
  </si>
  <si>
    <r>
      <rPr>
        <sz val="11"/>
        <color theme="1"/>
        <rFont val="Times New Roman"/>
        <charset val="134"/>
      </rPr>
      <t xml:space="preserve">        </t>
    </r>
    <r>
      <rPr>
        <b/>
        <sz val="11"/>
        <color theme="1"/>
        <rFont val="Times New Roman"/>
        <charset val="134"/>
      </rPr>
      <t>Instructions for completing the Excel Form</t>
    </r>
    <r>
      <rPr>
        <sz val="11"/>
        <color theme="1"/>
        <rFont val="Times New Roman"/>
        <charset val="134"/>
      </rPr>
      <t xml:space="preserve">
1.</t>
    </r>
    <r>
      <rPr>
        <sz val="11"/>
        <color rgb="FFFF0000"/>
        <rFont val="Times New Roman"/>
        <charset val="134"/>
      </rPr>
      <t xml:space="preserve"> Please ensure that Macros are enabled in Excel for this workbook to function properly.</t>
    </r>
    <r>
      <rPr>
        <sz val="11"/>
        <color theme="1"/>
        <rFont val="Times New Roman"/>
        <charset val="134"/>
      </rPr>
      <t xml:space="preserve">
2. </t>
    </r>
    <r>
      <rPr>
        <sz val="11"/>
        <color rgb="FFFF0000"/>
        <rFont val="Times New Roman"/>
        <charset val="134"/>
      </rPr>
      <t xml:space="preserve">Blue-highlighted cells indicate optional fields 
   — you may fill them in if applicable. </t>
    </r>
    <r>
      <rPr>
        <sz val="11"/>
        <color theme="1"/>
        <rFont val="Times New Roman"/>
        <charset val="134"/>
      </rPr>
      <t xml:space="preserve">  
3. For options labeled "Other (   )", please fill in the blank within the parentheses. To do so, click on the formula box at the top.
4. Use the "RESET" button carefully , it will reset all fields to the standard configuration provided by Huaming.
5. Std. : HM Standard Provided.
6. If there have been any prior inquiries regarding pricing or drawings, or if similar project products have already been ordered, please provide the relevant information together with this specification document.
7. The purchaser shall be responsible for the completeness and accuracy of the technical specifications provided herein.
8. If HMIET/HMJK/ZXJY units need to be purchased, please complete a separate order specification for them.</t>
    </r>
  </si>
  <si>
    <t>Name:</t>
  </si>
  <si>
    <t>Date:</t>
  </si>
  <si>
    <t>Transformer designer</t>
  </si>
  <si>
    <r>
      <rPr>
        <sz val="11"/>
        <color rgb="FFFF0000"/>
        <rFont val="Times New Roman"/>
        <charset val="134"/>
      </rPr>
      <t>*</t>
    </r>
    <r>
      <rPr>
        <sz val="11"/>
        <color theme="1"/>
        <rFont val="Times New Roman"/>
        <charset val="134"/>
      </rPr>
      <t>Name:</t>
    </r>
  </si>
  <si>
    <r>
      <rPr>
        <sz val="11"/>
        <color rgb="FFFF0000"/>
        <rFont val="Times New Roman"/>
        <charset val="134"/>
      </rPr>
      <t>*</t>
    </r>
    <r>
      <rPr>
        <sz val="11"/>
        <color theme="1"/>
        <rFont val="Times New Roman"/>
        <charset val="134"/>
      </rPr>
      <t>Tel:</t>
    </r>
  </si>
  <si>
    <t>E-mail:</t>
  </si>
  <si>
    <t>General information</t>
  </si>
  <si>
    <t>Purchaser:</t>
  </si>
  <si>
    <t>End user:</t>
  </si>
  <si>
    <r>
      <rPr>
        <sz val="11"/>
        <color theme="1"/>
        <rFont val="宋体"/>
        <charset val="134"/>
      </rPr>
      <t>国内</t>
    </r>
    <r>
      <rPr>
        <sz val="11"/>
        <color theme="1"/>
        <rFont val="Times New Roman"/>
        <charset val="134"/>
      </rPr>
      <t>/</t>
    </r>
    <r>
      <rPr>
        <sz val="11"/>
        <color theme="1"/>
        <rFont val="宋体"/>
        <charset val="134"/>
      </rPr>
      <t>出口</t>
    </r>
    <r>
      <rPr>
        <sz val="11"/>
        <color theme="1"/>
        <rFont val="Times New Roman"/>
        <charset val="134"/>
      </rPr>
      <t>:</t>
    </r>
  </si>
  <si>
    <r>
      <rPr>
        <sz val="11"/>
        <color theme="1"/>
        <rFont val="宋体"/>
        <charset val="134"/>
      </rPr>
      <t>中国省份</t>
    </r>
    <r>
      <rPr>
        <sz val="11"/>
        <color theme="1"/>
        <rFont val="Times New Roman"/>
        <charset val="134"/>
      </rPr>
      <t>:</t>
    </r>
  </si>
  <si>
    <t>Country of Installation:</t>
  </si>
  <si>
    <t>Quantity:</t>
  </si>
  <si>
    <t>Application:</t>
  </si>
  <si>
    <t>Project No.:</t>
  </si>
  <si>
    <t>PO No.:</t>
  </si>
  <si>
    <t>交货日期:</t>
  </si>
  <si>
    <t>交货地点:</t>
  </si>
  <si>
    <t>Motor Drive Specification</t>
  </si>
  <si>
    <r>
      <rPr>
        <sz val="11"/>
        <color rgb="FFFF0000"/>
        <rFont val="Times New Roman"/>
        <charset val="134"/>
      </rPr>
      <t>*</t>
    </r>
    <r>
      <rPr>
        <sz val="11"/>
        <color theme="1"/>
        <rFont val="Times New Roman"/>
        <charset val="134"/>
      </rPr>
      <t>Model:</t>
    </r>
  </si>
  <si>
    <r>
      <rPr>
        <sz val="11"/>
        <color rgb="FFFF0000"/>
        <rFont val="Times New Roman"/>
        <charset val="134"/>
      </rPr>
      <t xml:space="preserve">* </t>
    </r>
    <r>
      <rPr>
        <sz val="11"/>
        <rFont val="Times New Roman"/>
        <charset val="134"/>
      </rPr>
      <t>Number of operating positions</t>
    </r>
    <r>
      <rPr>
        <sz val="11"/>
        <color theme="1"/>
        <rFont val="Times New Roman"/>
        <charset val="134"/>
      </rPr>
      <t>:</t>
    </r>
  </si>
  <si>
    <t>Designation of positions:</t>
  </si>
  <si>
    <t>Max. effective number of turns at position (   )</t>
  </si>
  <si>
    <t>Mid-position(s) (   )
stop at position (   )</t>
  </si>
  <si>
    <t>Min. effective number of turns at position (   )</t>
  </si>
  <si>
    <t>Example:10193W</t>
  </si>
  <si>
    <t>Max. effective number of turns at position ( 1 )</t>
  </si>
  <si>
    <t>Mid-position(s) ( 9a9b9c  )
stop at position ( 9b  )</t>
  </si>
  <si>
    <t>Min. effective number of turns at position ( 17 )</t>
  </si>
  <si>
    <t xml:space="preserve">                Motor Circuit</t>
  </si>
  <si>
    <t>Motor power supply</t>
  </si>
  <si>
    <t>AC 220-240V 50/60Hz</t>
  </si>
  <si>
    <t>电压监视</t>
  </si>
  <si>
    <t>不配-标配</t>
  </si>
  <si>
    <t xml:space="preserve">                Control circuit</t>
  </si>
  <si>
    <t>Power supply</t>
  </si>
  <si>
    <t>1. Supply from motor circuit-std.</t>
  </si>
  <si>
    <t>Protection(Q2)</t>
  </si>
  <si>
    <t>Without-std.</t>
  </si>
  <si>
    <t>Over-current blocking</t>
  </si>
  <si>
    <t>1 N/O input-std.</t>
  </si>
  <si>
    <t>Temperature blocking</t>
  </si>
  <si>
    <t xml:space="preserve">                Heating circuit</t>
  </si>
  <si>
    <t>Protection(Q3)</t>
  </si>
  <si>
    <t>Heater(R1)</t>
  </si>
  <si>
    <t>Heater with thermostat-std.</t>
  </si>
  <si>
    <t xml:space="preserve">                Auxiliary circuit</t>
  </si>
  <si>
    <t>Hand lamp(H4)</t>
  </si>
  <si>
    <t>With-std.</t>
  </si>
  <si>
    <t>状态信号输出</t>
  </si>
  <si>
    <t>数量</t>
  </si>
  <si>
    <t>1 set-std.</t>
  </si>
  <si>
    <t>Status Signal Output</t>
  </si>
  <si>
    <t>HM Standard provided</t>
  </si>
  <si>
    <t>Power ON/Fault signal; Running signal; Limit signal; Hand-crank operation signal; Tap-change incomplete signal; Remote/local status signal; Oil filter start signal; Lock-out signal.</t>
  </si>
  <si>
    <t xml:space="preserve"> Socket</t>
  </si>
  <si>
    <t>Universal-std.</t>
  </si>
  <si>
    <t>急停按钮</t>
  </si>
  <si>
    <t xml:space="preserve">                Position transmitter</t>
  </si>
  <si>
    <t>BCD encoder</t>
  </si>
  <si>
    <t>4-20mA</t>
  </si>
  <si>
    <t>N/O contact range</t>
  </si>
  <si>
    <t xml:space="preserve">Resistor </t>
  </si>
  <si>
    <t>1. Without-std.</t>
  </si>
  <si>
    <t>I</t>
  </si>
  <si>
    <t>resistance/pos.</t>
  </si>
  <si>
    <t>Qty.</t>
  </si>
  <si>
    <t>for 1st pos.</t>
  </si>
  <si>
    <t>II</t>
  </si>
  <si>
    <t xml:space="preserve">                Position Indicator/Controller(AVR)</t>
  </si>
  <si>
    <t>Controller</t>
  </si>
  <si>
    <t>Without</t>
  </si>
  <si>
    <r>
      <rPr>
        <sz val="11"/>
        <color theme="1"/>
        <rFont val="Times New Roman"/>
        <charset val="134"/>
      </rPr>
      <t>Power Supply: 85~265VAC / 110V~300VDC​
​-Tap position display
Manual control buttons</t>
    </r>
    <r>
      <rPr>
        <sz val="11"/>
        <color theme="1"/>
        <rFont val="宋体"/>
        <charset val="134"/>
      </rPr>
      <t>：</t>
    </r>
    <r>
      <rPr>
        <sz val="11"/>
        <color theme="1"/>
        <rFont val="Times New Roman"/>
        <charset val="134"/>
      </rPr>
      <t>Raise</t>
    </r>
    <r>
      <rPr>
        <sz val="11"/>
        <color theme="1"/>
        <rFont val="宋体"/>
        <charset val="134"/>
      </rPr>
      <t>，</t>
    </r>
    <r>
      <rPr>
        <sz val="11"/>
        <color theme="1"/>
        <rFont val="Times New Roman"/>
        <charset val="134"/>
      </rPr>
      <t>Lower</t>
    </r>
    <r>
      <rPr>
        <sz val="11"/>
        <color theme="1"/>
        <rFont val="宋体"/>
        <charset val="134"/>
      </rPr>
      <t>，</t>
    </r>
    <r>
      <rPr>
        <sz val="11"/>
        <color theme="1"/>
        <rFont val="Times New Roman"/>
        <charset val="134"/>
      </rPr>
      <t>Stop
​-Tap position output: BCD code
​-Communication interfaces: RJ45 Ethernet port, RS485
​-Communication protocols: Modbus</t>
    </r>
  </si>
  <si>
    <r>
      <rPr>
        <sz val="11"/>
        <color theme="1"/>
        <rFont val="Times New Roman"/>
        <charset val="134"/>
      </rPr>
      <t>Power Supply: 85~265VAC / 110V~300VDC​
​-Tap position display
​-</t>
    </r>
    <r>
      <rPr>
        <sz val="11"/>
        <color rgb="FFFF0000"/>
        <rFont val="Times New Roman"/>
        <charset val="134"/>
      </rPr>
      <t>Automatic voltage regulation &amp; parallel operation</t>
    </r>
    <r>
      <rPr>
        <sz val="11"/>
        <color theme="1"/>
        <rFont val="Times New Roman"/>
        <charset val="134"/>
      </rPr>
      <t>​
-​Voltage sampling: 40-140V AC
​-Current sampling: 1A or 5A
​-Tap position input: BCD code, 4-20mA
​-Tap position output: BCD code
​-Communication interfaces: RJ45 Ethernet port, RS485
​-Communication protocols: Modbus, IEC 61850, DNP3.0, etc.
-​Maximum parallel units: 8</t>
    </r>
  </si>
  <si>
    <r>
      <rPr>
        <sz val="11"/>
        <color theme="1"/>
        <rFont val="Times New Roman"/>
        <charset val="134"/>
      </rPr>
      <t>Power Supply: 85~265VAC/DC​
-​Tap position display​
-​</t>
    </r>
    <r>
      <rPr>
        <sz val="11"/>
        <color rgb="FFFF0000"/>
        <rFont val="Times New Roman"/>
        <charset val="134"/>
      </rPr>
      <t>Automatic voltage regulation &amp; parallel operation</t>
    </r>
    <r>
      <rPr>
        <sz val="11"/>
        <color theme="1"/>
        <rFont val="Times New Roman"/>
        <charset val="134"/>
      </rPr>
      <t>​
​-Voltage sampling: 0-140V AC
​-Current sampling: 0-10A
-​Tap position input: BCD code, 4-20mA
​-Tap position output: BCD code
​-Communication interfaces: RS485, RJ45 Ethernet port, or fiber optic port
​-Communication protocols: Modbus, IEC 61850, DNP3.0, etc.
​-Maximum parallel units: 6
-​Line drop compensation 
-​Customizable special functions (upon request)​</t>
    </r>
  </si>
  <si>
    <t>4-core Multimode Fiber Length(m)</t>
  </si>
  <si>
    <t>Suppply Length</t>
  </si>
  <si>
    <t xml:space="preserve">                  Mechanical details/miscellaneous</t>
  </si>
  <si>
    <t>Door hinges</t>
  </si>
  <si>
    <t>Left-hand</t>
  </si>
  <si>
    <t>Bottom plate</t>
  </si>
  <si>
    <t>1xΦ50,1xΦ20.5 hole-std.</t>
  </si>
  <si>
    <t>Cable glands</t>
  </si>
  <si>
    <t>端子布置形式</t>
  </si>
  <si>
    <t>按华明标准形式</t>
  </si>
  <si>
    <t>Door padlock</t>
  </si>
  <si>
    <t>接地铜牌</t>
  </si>
  <si>
    <t>Color of paint</t>
  </si>
  <si>
    <t>RAL7040-std.</t>
  </si>
  <si>
    <t>Corrosive class</t>
  </si>
  <si>
    <t>C5-M-std.</t>
  </si>
  <si>
    <t>Language of documentation</t>
  </si>
  <si>
    <t>English</t>
  </si>
  <si>
    <t>Set</t>
  </si>
  <si>
    <t>Language of rating plate</t>
  </si>
  <si>
    <t>Terminal block type</t>
  </si>
  <si>
    <t>Phoenix</t>
  </si>
  <si>
    <t>Remark</t>
  </si>
  <si>
    <t>Prepared by</t>
  </si>
  <si>
    <t>Check by</t>
  </si>
  <si>
    <t>Approved by</t>
  </si>
  <si>
    <t>When placing an order, please return this Excel file to Huaming.</t>
  </si>
  <si>
    <t>MDU Power Source</t>
  </si>
  <si>
    <t>3-phase motor_3ACN</t>
  </si>
  <si>
    <t>Dummy plate</t>
  </si>
  <si>
    <t>3-phase motor_3AC</t>
  </si>
  <si>
    <t>For other specific requirements, the drawing provided by the customer is necessary</t>
  </si>
  <si>
    <t>2xM20;2xM25;2xM50</t>
  </si>
  <si>
    <t>MDU Power Source Frequency</t>
  </si>
  <si>
    <t>4xM20;4xM25;2xM50</t>
  </si>
  <si>
    <t>Frequency_50</t>
  </si>
  <si>
    <t>Frequency_60</t>
  </si>
  <si>
    <t>2xM20;3xM25;2xM40</t>
  </si>
  <si>
    <t>3AC</t>
  </si>
  <si>
    <t>6xM25;2xM32;3xM40</t>
  </si>
  <si>
    <t>MDU Power Source Voltage</t>
  </si>
  <si>
    <t>3-phase motor_3ACN 50Hz</t>
  </si>
  <si>
    <r>
      <rPr>
        <sz val="10.5"/>
        <color rgb="FF0D0D0D"/>
        <rFont val="DroidSerif-Regular"/>
        <charset val="134"/>
      </rPr>
      <t xml:space="preserve">220V±10% 50/60Hz  </t>
    </r>
    <r>
      <rPr>
        <sz val="10.5"/>
        <color rgb="FF0D0D0D"/>
        <rFont val="宋体"/>
        <charset val="134"/>
      </rPr>
      <t>std</t>
    </r>
  </si>
  <si>
    <t>other( )</t>
  </si>
  <si>
    <t>3-phase motor_3ACN 60Hz</t>
  </si>
  <si>
    <t>220V±10% 50/60Hz  std</t>
  </si>
  <si>
    <t>3-phase motor_3AC 50Hz</t>
  </si>
  <si>
    <t>3-phase motor_3AC 60Hz</t>
  </si>
  <si>
    <t>机构电源电压监视</t>
  </si>
  <si>
    <t>Amount</t>
  </si>
  <si>
    <t>配</t>
  </si>
  <si>
    <t>控制回路电源</t>
  </si>
  <si>
    <t>Supply from motor circuit_std</t>
  </si>
  <si>
    <t>Separate from motor circuit</t>
  </si>
  <si>
    <t>Voltage of separate power</t>
  </si>
  <si>
    <t>Control circuit supply from separate power</t>
  </si>
  <si>
    <t>120V AC</t>
  </si>
  <si>
    <t>127V AC</t>
  </si>
  <si>
    <t>220V AC</t>
  </si>
  <si>
    <t>230V AC</t>
  </si>
  <si>
    <t>240V AC</t>
  </si>
  <si>
    <t>110V DC</t>
  </si>
  <si>
    <t>125V DC</t>
  </si>
  <si>
    <t>220V DC</t>
  </si>
  <si>
    <t>控制回路保护</t>
  </si>
  <si>
    <t>加热回路保护</t>
  </si>
  <si>
    <t>2-pole miniature circuit breaker without signal output</t>
  </si>
  <si>
    <t>1-pole miniature circuit breaker without signal output</t>
  </si>
  <si>
    <t>2-pole miniature circuit breaker with signal output</t>
  </si>
  <si>
    <t>1-pole miniature circuit breaker with signal output</t>
  </si>
  <si>
    <t>控制回路保护空开</t>
  </si>
  <si>
    <t>1-pole miniature circuit breaker</t>
  </si>
  <si>
    <t>Without signal output</t>
  </si>
  <si>
    <t>With 1 N/C signal output</t>
  </si>
  <si>
    <t>Other( )</t>
  </si>
  <si>
    <t>2-pole miniature circuit breaker</t>
  </si>
  <si>
    <t>控制回路过流闭锁</t>
  </si>
  <si>
    <t xml:space="preserve">1 N/C input </t>
  </si>
  <si>
    <t>With current relay(without signal)</t>
  </si>
  <si>
    <t>With current relay(with signal)</t>
  </si>
  <si>
    <t>Over-current blocking by current relay</t>
  </si>
  <si>
    <t>without signal</t>
  </si>
  <si>
    <t>with signal</t>
  </si>
  <si>
    <t>低温闭锁</t>
  </si>
  <si>
    <t>金额</t>
  </si>
  <si>
    <t>From PT100 mounted on tap changer</t>
  </si>
  <si>
    <t>From PT100 mounted on tap changer,with 4-20mA signal output</t>
  </si>
  <si>
    <t>From BWTY mounted on tap changer</t>
  </si>
  <si>
    <t>From PT100 mounted on tap changer,with 2x(4-20mA)signals output</t>
  </si>
  <si>
    <t>加热回路电源</t>
  </si>
  <si>
    <t>Supply from motor circuit-Std.</t>
  </si>
  <si>
    <t>Heating circuit supply from separate power</t>
  </si>
  <si>
    <t>加热回路控制</t>
  </si>
  <si>
    <t>Heater with Temperature and Humidity controller</t>
  </si>
  <si>
    <t>辅助回路手灯</t>
  </si>
  <si>
    <t>辅助回路状态信号输出</t>
  </si>
  <si>
    <t>End-position signaling switch</t>
  </si>
  <si>
    <t>N/O</t>
  </si>
  <si>
    <t>1 N/O</t>
  </si>
  <si>
    <t>2 N/O</t>
  </si>
  <si>
    <t>C/O</t>
  </si>
  <si>
    <t>1 C/O</t>
  </si>
  <si>
    <t>2 C/O</t>
  </si>
  <si>
    <t>Hand crank signaling switch</t>
  </si>
  <si>
    <t>Cam-operated switch</t>
  </si>
  <si>
    <t>Signal for incomplete tap changer</t>
  </si>
  <si>
    <t>Motor protective signal</t>
  </si>
  <si>
    <t>1 N/C</t>
  </si>
  <si>
    <t>2 N/C</t>
  </si>
  <si>
    <t>Raise&amp;Lower directional signal</t>
  </si>
  <si>
    <t>急停按钮及</t>
  </si>
  <si>
    <t>Q1跳闸指示</t>
  </si>
  <si>
    <t>South African</t>
  </si>
  <si>
    <t>European</t>
  </si>
  <si>
    <t>French</t>
  </si>
  <si>
    <t>British</t>
  </si>
  <si>
    <t>Australian</t>
  </si>
  <si>
    <t>Brazilian</t>
  </si>
  <si>
    <t>位置传输一对一信号</t>
  </si>
  <si>
    <t>Italian</t>
  </si>
  <si>
    <t>Break-Before-Make</t>
  </si>
  <si>
    <t>Make-Before-Break</t>
  </si>
  <si>
    <t>BCD码档位信号</t>
  </si>
  <si>
    <t>4-20mA模拟量信号</t>
  </si>
  <si>
    <t>1-5V模拟量信号</t>
  </si>
  <si>
    <t>电阻位置信号</t>
  </si>
  <si>
    <t>a</t>
  </si>
  <si>
    <t>信号形式</t>
  </si>
  <si>
    <t>电阻位置信号有无</t>
  </si>
  <si>
    <t>起始档位电阻值</t>
  </si>
  <si>
    <t>6.2Ω</t>
  </si>
  <si>
    <t>With</t>
  </si>
  <si>
    <t>0Ω</t>
  </si>
  <si>
    <t>10Ω</t>
  </si>
  <si>
    <t>50Ω</t>
  </si>
  <si>
    <t>( )</t>
  </si>
  <si>
    <t>602Ω</t>
  </si>
  <si>
    <t>1000Ω</t>
  </si>
  <si>
    <t>Other（ ）Ω</t>
  </si>
  <si>
    <t>控制器及电缆</t>
  </si>
  <si>
    <t>控制器</t>
  </si>
  <si>
    <t>SHM_KX</t>
  </si>
  <si>
    <t>标准功能</t>
  </si>
  <si>
    <t>扩展功能</t>
  </si>
  <si>
    <t>SHM-KX</t>
  </si>
  <si>
    <t>SHM-KX/ZB</t>
  </si>
  <si>
    <t>HMIET-I(Standard Version)</t>
  </si>
  <si>
    <t>机构箱铰链位置</t>
  </si>
  <si>
    <t>底部出线孔</t>
  </si>
  <si>
    <t>华明标准</t>
  </si>
  <si>
    <t>Std（2×Φ50 holes）</t>
  </si>
  <si>
    <t>Right-hand</t>
  </si>
  <si>
    <t>国家电网标准</t>
  </si>
  <si>
    <t>Without bore-hole</t>
  </si>
  <si>
    <t>Additional Bore-hole requirements, customer to provide drawings</t>
  </si>
  <si>
    <t>机构箱门锁</t>
  </si>
  <si>
    <t>资料</t>
  </si>
  <si>
    <t>中文</t>
  </si>
  <si>
    <t>Russian</t>
  </si>
  <si>
    <t>Spanish</t>
  </si>
  <si>
    <t>Portuguese</t>
  </si>
  <si>
    <t>铭牌</t>
  </si>
  <si>
    <t>Chinese&amp;English</t>
  </si>
  <si>
    <t>机构箱油漆颜色</t>
  </si>
  <si>
    <t>RAL7031</t>
  </si>
  <si>
    <t>RAL7032</t>
  </si>
  <si>
    <t>RAL7033</t>
  </si>
  <si>
    <t>RAL7035</t>
  </si>
  <si>
    <t>Other（ ）</t>
  </si>
  <si>
    <t>Munsell 6.5</t>
  </si>
  <si>
    <t>ANSI 70</t>
  </si>
  <si>
    <t>BS381C(632)</t>
  </si>
  <si>
    <t>防腐等级</t>
  </si>
  <si>
    <t>C4-H</t>
  </si>
  <si>
    <t>C4-VH</t>
  </si>
  <si>
    <t>C5-H</t>
  </si>
  <si>
    <t>C5-VH</t>
  </si>
  <si>
    <t>接线端子型号</t>
  </si>
  <si>
    <t>版本号</t>
  </si>
  <si>
    <t>Rev. 01</t>
  </si>
  <si>
    <t>Rev. 02</t>
  </si>
  <si>
    <t>Rev. 03</t>
  </si>
  <si>
    <t>Rev. 04</t>
  </si>
  <si>
    <t>Rev. 05</t>
  </si>
  <si>
    <t>Rev. 06</t>
  </si>
  <si>
    <t>Rev. 07</t>
  </si>
  <si>
    <t>Rev. 08</t>
  </si>
  <si>
    <t>Rev. 09</t>
  </si>
  <si>
    <t>C3-Std.</t>
  </si>
  <si>
    <t>C5-M</t>
  </si>
  <si>
    <t>C4-M</t>
  </si>
  <si>
    <t>底板出线孔防水接头</t>
  </si>
  <si>
    <t>配线颜色</t>
  </si>
  <si>
    <t>配线规格</t>
  </si>
  <si>
    <t>HM std.</t>
  </si>
  <si>
    <t>型号</t>
  </si>
  <si>
    <t>SHM-D（Small cabinet）</t>
  </si>
  <si>
    <t>SHM-DL（Large cabinet）</t>
  </si>
  <si>
    <t>配一块接地铜排，加绝缘件支撑</t>
  </si>
  <si>
    <t>配二块接地铜排，加绝缘件支撑</t>
  </si>
  <si>
    <t>中国省份</t>
  </si>
  <si>
    <t>国内/出口</t>
  </si>
  <si>
    <t>北京</t>
  </si>
  <si>
    <t>国内</t>
  </si>
  <si>
    <t>上海</t>
  </si>
  <si>
    <t>出口</t>
  </si>
  <si>
    <t>天津</t>
  </si>
  <si>
    <t>重庆</t>
  </si>
  <si>
    <t>浙江</t>
  </si>
  <si>
    <t>安徽</t>
  </si>
  <si>
    <t>江西</t>
  </si>
  <si>
    <t>福建</t>
  </si>
  <si>
    <t>广东</t>
  </si>
  <si>
    <t>广西</t>
  </si>
  <si>
    <t>山东</t>
  </si>
  <si>
    <t>山西</t>
  </si>
  <si>
    <t>湖南</t>
  </si>
  <si>
    <t>湖北</t>
  </si>
  <si>
    <t>河南</t>
  </si>
  <si>
    <t>河北</t>
  </si>
  <si>
    <t>陕西</t>
  </si>
  <si>
    <t>新疆</t>
  </si>
  <si>
    <t>辽宁</t>
  </si>
  <si>
    <t>黑龙江</t>
  </si>
  <si>
    <t>吉林</t>
  </si>
  <si>
    <t>内蒙古</t>
  </si>
  <si>
    <t>宁夏</t>
  </si>
  <si>
    <t>甘肃</t>
  </si>
  <si>
    <t>青海</t>
  </si>
  <si>
    <t>四川</t>
  </si>
  <si>
    <t>贵州</t>
  </si>
  <si>
    <t>云南</t>
  </si>
  <si>
    <t>江苏</t>
  </si>
  <si>
    <t>海南</t>
  </si>
  <si>
    <t>广西壮族</t>
  </si>
  <si>
    <t>宁夏回族</t>
  </si>
  <si>
    <t>新疆维吾尔</t>
  </si>
  <si>
    <t>台湾</t>
  </si>
  <si>
    <t>香港</t>
  </si>
  <si>
    <t>澳门</t>
  </si>
  <si>
    <t>应用场景</t>
  </si>
  <si>
    <t>Network</t>
  </si>
  <si>
    <t>Industry</t>
  </si>
  <si>
    <t>电源系统-电源</t>
  </si>
  <si>
    <t>1. 三相电机_3AC/N-标配</t>
  </si>
  <si>
    <t>文本提示信息</t>
  </si>
  <si>
    <t>请从下拉列表中选择</t>
  </si>
  <si>
    <t>版本号:</t>
  </si>
  <si>
    <t>D2</t>
  </si>
  <si>
    <t>R2</t>
  </si>
  <si>
    <t>:</t>
  </si>
  <si>
    <t>W1</t>
  </si>
  <si>
    <t>Range("</t>
  </si>
  <si>
    <t>").Value = ThisWorkbook.Sheets("Data Source").Range("</t>
  </si>
  <si>
    <t>").Value</t>
  </si>
  <si>
    <t>2. 三相电机_3AC</t>
  </si>
  <si>
    <t>请选择列表中的选项！</t>
  </si>
  <si>
    <t>华明订单编号:</t>
  </si>
  <si>
    <t>Z2</t>
  </si>
  <si>
    <t>AJ2</t>
  </si>
  <si>
    <t>W2</t>
  </si>
  <si>
    <t>3. 单相电机_AC</t>
  </si>
  <si>
    <t>修改人:</t>
  </si>
  <si>
    <t>D3</t>
  </si>
  <si>
    <t>R3</t>
  </si>
  <si>
    <t>W3</t>
  </si>
  <si>
    <t>4. 直流电机_DC</t>
  </si>
  <si>
    <t>修改日期:</t>
  </si>
  <si>
    <t>Z3</t>
  </si>
  <si>
    <t>AJ3</t>
  </si>
  <si>
    <t>W4</t>
  </si>
  <si>
    <t>*姓名：</t>
  </si>
  <si>
    <t>D5</t>
  </si>
  <si>
    <t>R5</t>
  </si>
  <si>
    <t>W5</t>
  </si>
  <si>
    <t>电源系统-频率</t>
  </si>
  <si>
    <t>1. 频率_50-标配</t>
  </si>
  <si>
    <t>*电话：</t>
  </si>
  <si>
    <t>Z5</t>
  </si>
  <si>
    <t>AJ5</t>
  </si>
  <si>
    <t>W6</t>
  </si>
  <si>
    <t>2. 频率_60</t>
  </si>
  <si>
    <t>*邮箱：</t>
  </si>
  <si>
    <t>D6</t>
  </si>
  <si>
    <t>AJ6</t>
  </si>
  <si>
    <t>W7</t>
  </si>
  <si>
    <t>3. 频率_DC</t>
  </si>
  <si>
    <t>买方:</t>
  </si>
  <si>
    <t>H8</t>
  </si>
  <si>
    <t>AJ8</t>
  </si>
  <si>
    <t>W8</t>
  </si>
  <si>
    <t>变压器终端用户:</t>
  </si>
  <si>
    <t>H9</t>
  </si>
  <si>
    <t>AJ9</t>
  </si>
  <si>
    <t>W9</t>
  </si>
  <si>
    <t>电源系统-电压</t>
  </si>
  <si>
    <r>
      <rPr>
        <sz val="10.5"/>
        <color rgb="FF0D0D0D"/>
        <rFont val="DroidSerif-Regular"/>
        <charset val="134"/>
      </rPr>
      <t>380-</t>
    </r>
    <r>
      <rPr>
        <sz val="10.5"/>
        <color rgb="FF0D0D0D"/>
        <rFont val="宋体"/>
        <charset val="134"/>
      </rPr>
      <t>标配</t>
    </r>
  </si>
  <si>
    <t>其他( )</t>
  </si>
  <si>
    <t>国内/出口:</t>
  </si>
  <si>
    <t>H10</t>
  </si>
  <si>
    <t>R10</t>
  </si>
  <si>
    <t>W10</t>
  </si>
  <si>
    <t>中国省份:</t>
  </si>
  <si>
    <t>Z10</t>
  </si>
  <si>
    <t>AJ10</t>
  </si>
  <si>
    <t>W11</t>
  </si>
  <si>
    <t>安装国家:</t>
  </si>
  <si>
    <t>H11</t>
  </si>
  <si>
    <t>AJ11</t>
  </si>
  <si>
    <t>W12</t>
  </si>
  <si>
    <t>数量:</t>
  </si>
  <si>
    <t>H12</t>
  </si>
  <si>
    <t>R12</t>
  </si>
  <si>
    <t>W13</t>
  </si>
  <si>
    <t>是否来自电机电源</t>
  </si>
  <si>
    <t>应用场景:</t>
  </si>
  <si>
    <t>Z12</t>
  </si>
  <si>
    <t>AJ12</t>
  </si>
  <si>
    <t>W14</t>
  </si>
  <si>
    <t>2. Separate from motor circuit</t>
  </si>
  <si>
    <t>变压器编号:</t>
  </si>
  <si>
    <t>H13</t>
  </si>
  <si>
    <t>R13</t>
  </si>
  <si>
    <t>W15</t>
  </si>
  <si>
    <t>订单号:</t>
  </si>
  <si>
    <t>Z13</t>
  </si>
  <si>
    <t>AJ13</t>
  </si>
  <si>
    <t>W16</t>
  </si>
  <si>
    <t>非来自电机电源电压</t>
  </si>
  <si>
    <t>48V DC</t>
  </si>
  <si>
    <t>Other（  ）V</t>
  </si>
  <si>
    <t>H14</t>
  </si>
  <si>
    <t>R14</t>
  </si>
  <si>
    <t>W17</t>
  </si>
  <si>
    <t>Z14</t>
  </si>
  <si>
    <t>AJ14</t>
  </si>
  <si>
    <t>W18</t>
  </si>
  <si>
    <t>1. 不带空开</t>
  </si>
  <si>
    <t>型号：</t>
  </si>
  <si>
    <t>H16</t>
  </si>
  <si>
    <t>R16</t>
  </si>
  <si>
    <t>W19</t>
  </si>
  <si>
    <t>2. 单相空开</t>
  </si>
  <si>
    <t>档位数:</t>
  </si>
  <si>
    <t>Z16</t>
  </si>
  <si>
    <t>AJ16</t>
  </si>
  <si>
    <t>W20</t>
  </si>
  <si>
    <t>3. 两相空开</t>
  </si>
  <si>
    <t>工作位置定义1:</t>
  </si>
  <si>
    <t>H17</t>
  </si>
  <si>
    <t>O17</t>
  </si>
  <si>
    <t>W21</t>
  </si>
  <si>
    <t>工作位置定义2:</t>
  </si>
  <si>
    <t>P17</t>
  </si>
  <si>
    <t>AA17</t>
  </si>
  <si>
    <t>W22</t>
  </si>
  <si>
    <t>是否带空开</t>
  </si>
  <si>
    <t>1. 不带信号输出</t>
  </si>
  <si>
    <t>工作位置定义3:</t>
  </si>
  <si>
    <t>AB17</t>
  </si>
  <si>
    <t>AJ17</t>
  </si>
  <si>
    <t>W23</t>
  </si>
  <si>
    <t>2. 带一组信号输出</t>
  </si>
  <si>
    <t>H21</t>
  </si>
  <si>
    <t>AC21</t>
  </si>
  <si>
    <t>W24</t>
  </si>
  <si>
    <t>3. 其他( )</t>
  </si>
  <si>
    <t>电源来源</t>
  </si>
  <si>
    <t>H23</t>
  </si>
  <si>
    <t>AC24</t>
  </si>
  <si>
    <t>W25</t>
  </si>
  <si>
    <t>保护空开</t>
  </si>
  <si>
    <t>H25</t>
  </si>
  <si>
    <t>AC25</t>
  </si>
  <si>
    <t>W26</t>
  </si>
  <si>
    <t>过流闭锁</t>
  </si>
  <si>
    <t>H26</t>
  </si>
  <si>
    <t>AC26</t>
  </si>
  <si>
    <t>W27</t>
  </si>
  <si>
    <t>H27</t>
  </si>
  <si>
    <t>AC27</t>
  </si>
  <si>
    <t>W28</t>
  </si>
  <si>
    <t>H29</t>
  </si>
  <si>
    <t>AC29</t>
  </si>
  <si>
    <t>W29</t>
  </si>
  <si>
    <t>H31</t>
  </si>
  <si>
    <t>AC31</t>
  </si>
  <si>
    <t>W30</t>
  </si>
  <si>
    <t>控制</t>
  </si>
  <si>
    <t>H32</t>
  </si>
  <si>
    <t>AC32</t>
  </si>
  <si>
    <t>W31</t>
  </si>
  <si>
    <t>手灯</t>
  </si>
  <si>
    <t>H34</t>
  </si>
  <si>
    <t>AC34</t>
  </si>
  <si>
    <t>W32</t>
  </si>
  <si>
    <t>选项</t>
  </si>
  <si>
    <t>H35</t>
  </si>
  <si>
    <t>AC35</t>
  </si>
  <si>
    <t>W33</t>
  </si>
  <si>
    <t>电源插座</t>
  </si>
  <si>
    <t>H37</t>
  </si>
  <si>
    <t>AC37</t>
  </si>
  <si>
    <t>W34</t>
  </si>
  <si>
    <t>急停</t>
  </si>
  <si>
    <t>H38</t>
  </si>
  <si>
    <t>AC38</t>
  </si>
  <si>
    <t>W35</t>
  </si>
  <si>
    <t>中英文</t>
  </si>
  <si>
    <t>H40</t>
  </si>
  <si>
    <t>AC40</t>
  </si>
  <si>
    <t>W36</t>
  </si>
  <si>
    <t>英文</t>
  </si>
  <si>
    <t>2. With-Same resistances</t>
  </si>
  <si>
    <t>H41</t>
  </si>
  <si>
    <t>AC41</t>
  </si>
  <si>
    <t>W37</t>
  </si>
  <si>
    <t>俄语</t>
  </si>
  <si>
    <t>3. With-Dffirent resistances</t>
  </si>
  <si>
    <t>一对一信号</t>
  </si>
  <si>
    <t>H42</t>
  </si>
  <si>
    <t>AC42</t>
  </si>
  <si>
    <t>W38</t>
  </si>
  <si>
    <t>法语</t>
  </si>
  <si>
    <t>H43</t>
  </si>
  <si>
    <t>AC43</t>
  </si>
  <si>
    <t>W39</t>
  </si>
  <si>
    <t>西班牙</t>
  </si>
  <si>
    <t>H49</t>
  </si>
  <si>
    <t>AC49</t>
  </si>
  <si>
    <t>W40</t>
  </si>
  <si>
    <t>葡萄牙</t>
  </si>
  <si>
    <t>光纤</t>
  </si>
  <si>
    <t>H53</t>
  </si>
  <si>
    <t>U53</t>
  </si>
  <si>
    <t>W41</t>
  </si>
  <si>
    <t>H55</t>
  </si>
  <si>
    <t>AC55</t>
  </si>
  <si>
    <t>W42</t>
  </si>
  <si>
    <t>H56</t>
  </si>
  <si>
    <t>O56</t>
  </si>
  <si>
    <t>W43</t>
  </si>
  <si>
    <t>电缆规格</t>
  </si>
  <si>
    <t>普通</t>
  </si>
  <si>
    <t>H57</t>
  </si>
  <si>
    <t>AC57</t>
  </si>
  <si>
    <t>W44</t>
  </si>
  <si>
    <t>屏蔽</t>
  </si>
  <si>
    <t>H58</t>
  </si>
  <si>
    <t>AC58</t>
  </si>
  <si>
    <t>W45</t>
  </si>
  <si>
    <t>阻燃</t>
  </si>
  <si>
    <t>H59</t>
  </si>
  <si>
    <t>AC59</t>
  </si>
  <si>
    <t>W46</t>
  </si>
  <si>
    <t>铠装</t>
  </si>
  <si>
    <t>H60</t>
  </si>
  <si>
    <t>AC60</t>
  </si>
  <si>
    <t>W47</t>
  </si>
  <si>
    <t>耐寒</t>
  </si>
  <si>
    <t>H61</t>
  </si>
  <si>
    <t>AC61</t>
  </si>
  <si>
    <t>W48</t>
  </si>
  <si>
    <t>耐油</t>
  </si>
  <si>
    <t>H62</t>
  </si>
  <si>
    <t>AC62</t>
  </si>
  <si>
    <t>W49</t>
  </si>
  <si>
    <t>出厂资料</t>
  </si>
  <si>
    <t>H63</t>
  </si>
  <si>
    <t>AC63</t>
  </si>
  <si>
    <t>W50</t>
  </si>
  <si>
    <t>H64</t>
  </si>
  <si>
    <t>AA64</t>
  </si>
  <si>
    <t>W51</t>
  </si>
  <si>
    <t>电缆线有无</t>
  </si>
  <si>
    <t>1. 不配-标配</t>
  </si>
  <si>
    <t>机构铭牌</t>
  </si>
  <si>
    <t>H65</t>
  </si>
  <si>
    <t>AC65</t>
  </si>
  <si>
    <t>W52</t>
  </si>
  <si>
    <t>2. 配</t>
  </si>
  <si>
    <t>接线端子</t>
  </si>
  <si>
    <t>H66</t>
  </si>
  <si>
    <t>AC66</t>
  </si>
  <si>
    <t>W53</t>
  </si>
  <si>
    <t>备注</t>
  </si>
  <si>
    <t>E67</t>
  </si>
  <si>
    <t>AJ71</t>
  </si>
  <si>
    <t>W54</t>
  </si>
  <si>
    <t>无有</t>
  </si>
  <si>
    <t>1. 无</t>
  </si>
  <si>
    <t>制单</t>
  </si>
  <si>
    <t>E72</t>
  </si>
  <si>
    <t>L73</t>
  </si>
  <si>
    <t>W55</t>
  </si>
  <si>
    <t>2. 有</t>
  </si>
  <si>
    <t>效对</t>
  </si>
  <si>
    <t>P72</t>
  </si>
  <si>
    <t>X73</t>
  </si>
  <si>
    <t>W56</t>
  </si>
  <si>
    <t>审核</t>
  </si>
  <si>
    <t>AD72</t>
  </si>
  <si>
    <t>AJ78</t>
  </si>
  <si>
    <t>W57</t>
  </si>
  <si>
    <t>有无</t>
  </si>
  <si>
    <t>1. 有</t>
  </si>
  <si>
    <t>2. 无</t>
  </si>
  <si>
    <t>1. 国内</t>
  </si>
  <si>
    <t>2. 出口</t>
  </si>
  <si>
    <t>辅助回路电源插座</t>
  </si>
  <si>
    <t>2. 配含漏电保护开关</t>
  </si>
  <si>
    <t>1. 不带空开-标配</t>
  </si>
  <si>
    <t>挡位卡数量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</si>
</sst>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6" formatCode="[$-409]mmmm\ d\,\ yyyy;@"/>
    <numFmt numFmtId="167" formatCode="0_ "/>
    <numFmt numFmtId="168" formatCode="0_);[Red]\(0\)"/>
    <numFmt numFmtId="169" formatCode="0.00_);[Red]\(0.00\)"/>
  </numFmts>
  <fonts count="25">
    <font>
      <sz val="11"/>
      <color theme="1"/>
      <name val="Calibri"/>
      <charset val="134"/>
      <scheme val="minor"/>
    </font>
    <font>
      <sz val="11"/>
      <color rgb="FF000000"/>
      <name val="宋体"/>
      <charset val="134"/>
    </font>
    <font>
      <sz val="11"/>
      <color rgb="FF000000"/>
      <name val="Arial"/>
      <charset val="134"/>
    </font>
    <font>
      <sz val="10.5"/>
      <color rgb="FF0D0D0D"/>
      <name val="DroidSerif-Regular"/>
      <charset val="134"/>
    </font>
    <font>
      <sz val="10.5"/>
      <color rgb="FF0D0D0D"/>
      <name val="宋体"/>
      <charset val="134"/>
    </font>
    <font>
      <sz val="14"/>
      <color rgb="FF333333"/>
      <name val="宋体"/>
      <charset val="134"/>
    </font>
    <font>
      <sz val="10.5"/>
      <color theme="1"/>
      <name val="宋体"/>
      <charset val="134"/>
    </font>
    <font>
      <b/>
      <sz val="10.5"/>
      <color rgb="FF0000FF"/>
      <name val="宋体"/>
      <charset val="134"/>
    </font>
    <font>
      <sz val="11"/>
      <color theme="1"/>
      <name val="Times New Roman"/>
      <charset val="134"/>
    </font>
    <font>
      <b/>
      <sz val="16"/>
      <color theme="1"/>
      <name val="Times New Roman"/>
      <charset val="134"/>
    </font>
    <font>
      <b/>
      <sz val="11"/>
      <color theme="1"/>
      <name val="Times New Roman"/>
      <charset val="134"/>
    </font>
    <font>
      <sz val="11"/>
      <name val="Times New Roman"/>
      <charset val="134"/>
    </font>
    <font>
      <b/>
      <sz val="12"/>
      <color theme="1"/>
      <name val="Times New Roman"/>
      <charset val="134"/>
    </font>
    <font>
      <sz val="11"/>
      <color rgb="FFFF0000"/>
      <name val="Times New Roman"/>
      <charset val="134"/>
    </font>
    <font>
      <i/>
      <sz val="11"/>
      <color theme="1"/>
      <name val="Times New Roman"/>
      <charset val="134"/>
    </font>
    <font>
      <sz val="10.5"/>
      <name val="Times New Roman"/>
      <charset val="134"/>
    </font>
    <font>
      <sz val="11"/>
      <color theme="1"/>
      <name val="宋体"/>
      <charset val="134"/>
    </font>
    <font>
      <sz val="10.5"/>
      <color rgb="FF0D0D0D"/>
      <name val="Times New Roman"/>
      <charset val="134"/>
    </font>
    <font>
      <sz val="12"/>
      <name val="Times New Roman"/>
      <charset val="134"/>
    </font>
    <font>
      <sz val="10.5"/>
      <color theme="1"/>
      <name val="Times New Roman"/>
      <charset val="134"/>
    </font>
    <font>
      <sz val="14"/>
      <color rgb="FF333333"/>
      <name val="Times New Roman"/>
      <charset val="134"/>
    </font>
    <font>
      <b/>
      <sz val="12"/>
      <color rgb="FFFF0000"/>
      <name val="Times New Roman"/>
      <charset val="134"/>
    </font>
    <font>
      <u/>
      <sz val="11"/>
      <color rgb="FF0000FF"/>
      <name val="Calibri"/>
      <charset val="134"/>
      <scheme val="minor"/>
    </font>
    <font>
      <sz val="10"/>
      <name val="宋体"/>
      <charset val="134"/>
    </font>
    <font>
      <sz val="9"/>
      <name val="宋体"/>
      <charset val="134"/>
    </font>
  </fonts>
  <fills count="6">
    <fill>
      <patternFill patternType="none"/>
    </fill>
    <fill>
      <patternFill patternType="gray125"/>
    </fill>
    <fill>
      <patternFill patternType="solid">
        <fgColor rgb="FF92D050"/>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s>
  <cellStyleXfs count="2">
    <xf numFmtId="0" fontId="0" fillId="0" borderId="0">
      <alignment vertical="center"/>
    </xf>
    <xf numFmtId="0" fontId="22" fillId="0" borderId="0" applyNumberFormat="0" applyFill="0" applyBorder="0" applyAlignment="0" applyProtection="0">
      <alignment vertical="center"/>
    </xf>
  </cellStyleXfs>
  <cellXfs count="150">
    <xf numFmtId="0" fontId="0" fillId="0" borderId="0" xfId="0">
      <alignment vertical="center"/>
    </xf>
    <xf numFmtId="0" fontId="0" fillId="2" borderId="0" xfId="0" applyFill="1">
      <alignment vertical="center"/>
    </xf>
    <xf numFmtId="0" fontId="1" fillId="0" borderId="0" xfId="0" applyFont="1" applyAlignment="1">
      <alignment horizontal="left" vertical="top" wrapText="1"/>
    </xf>
    <xf numFmtId="0" fontId="2" fillId="0" borderId="0" xfId="0" applyFont="1" applyAlignment="1">
      <alignment horizontal="left" vertical="top" wrapText="1"/>
    </xf>
    <xf numFmtId="0" fontId="0" fillId="0" borderId="0" xfId="0" applyAlignment="1">
      <alignment horizontal="left" vertical="center"/>
    </xf>
    <xf numFmtId="0" fontId="3" fillId="0" borderId="0" xfId="0" applyFont="1" applyAlignment="1">
      <alignment horizontal="left" vertical="center"/>
    </xf>
    <xf numFmtId="0" fontId="4" fillId="0" borderId="0" xfId="0" applyFont="1" applyAlignment="1">
      <alignment horizontal="left" vertical="center"/>
    </xf>
    <xf numFmtId="0" fontId="0" fillId="0" borderId="0" xfId="0" applyAlignment="1">
      <alignment vertical="center" wrapText="1"/>
    </xf>
    <xf numFmtId="0" fontId="4" fillId="0" borderId="0" xfId="0" applyFont="1">
      <alignment vertical="center"/>
    </xf>
    <xf numFmtId="0" fontId="0" fillId="3" borderId="0" xfId="0" applyFill="1">
      <alignment vertical="center"/>
    </xf>
    <xf numFmtId="0" fontId="3" fillId="0" borderId="0" xfId="0" applyFont="1">
      <alignment vertical="center"/>
    </xf>
    <xf numFmtId="0" fontId="5" fillId="0" borderId="0" xfId="0" applyFont="1">
      <alignment vertical="center"/>
    </xf>
    <xf numFmtId="0" fontId="5" fillId="0" borderId="0" xfId="0" applyFont="1" applyAlignment="1">
      <alignment vertical="center" wrapText="1"/>
    </xf>
    <xf numFmtId="0" fontId="0" fillId="0" borderId="0" xfId="0" applyProtection="1">
      <alignment vertical="center"/>
      <protection locked="0"/>
    </xf>
    <xf numFmtId="0" fontId="6" fillId="0" borderId="0" xfId="0" applyFont="1" applyAlignment="1">
      <alignment horizontal="justify" vertical="center"/>
    </xf>
    <xf numFmtId="0" fontId="7" fillId="0" borderId="0" xfId="0" applyFont="1" applyAlignment="1">
      <alignment horizontal="left" vertical="center"/>
    </xf>
    <xf numFmtId="22" fontId="0" fillId="0" borderId="0" xfId="0" applyNumberFormat="1">
      <alignment vertical="center"/>
    </xf>
    <xf numFmtId="0" fontId="8" fillId="3" borderId="1" xfId="0" applyFont="1" applyFill="1" applyBorder="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8" fillId="0" borderId="1"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11" fillId="0" borderId="1" xfId="1" applyFont="1" applyBorder="1" applyAlignment="1" applyProtection="1">
      <alignment horizontal="center" vertical="center"/>
      <protection locked="0"/>
    </xf>
    <xf numFmtId="0" fontId="11" fillId="0" borderId="2" xfId="1" applyFont="1" applyBorder="1" applyAlignment="1" applyProtection="1">
      <alignment horizontal="center" vertical="center"/>
      <protection locked="0"/>
    </xf>
    <xf numFmtId="0" fontId="11" fillId="0" borderId="3" xfId="1" applyFont="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6" fontId="8" fillId="3" borderId="2" xfId="0" applyNumberFormat="1" applyFont="1" applyFill="1" applyBorder="1" applyAlignment="1" applyProtection="1">
      <alignment horizontal="center" vertical="center"/>
      <protection locked="0"/>
    </xf>
    <xf numFmtId="166" fontId="8" fillId="3" borderId="3" xfId="0" applyNumberFormat="1" applyFont="1" applyFill="1" applyBorder="1" applyAlignment="1" applyProtection="1">
      <alignment horizontal="center" vertical="center"/>
      <protection locked="0"/>
    </xf>
    <xf numFmtId="167" fontId="8" fillId="0" borderId="1" xfId="0" applyNumberFormat="1" applyFont="1" applyBorder="1" applyAlignment="1" applyProtection="1">
      <alignment horizontal="center" vertical="center"/>
      <protection locked="0"/>
    </xf>
    <xf numFmtId="167" fontId="8" fillId="0" borderId="2" xfId="0" applyNumberFormat="1" applyFont="1" applyBorder="1" applyAlignment="1" applyProtection="1">
      <alignment horizontal="center" vertical="center"/>
      <protection locked="0"/>
    </xf>
    <xf numFmtId="167" fontId="8" fillId="0" borderId="3" xfId="0" applyNumberFormat="1" applyFont="1" applyBorder="1" applyAlignment="1" applyProtection="1">
      <alignment horizontal="center" vertical="center"/>
      <protection locked="0"/>
    </xf>
    <xf numFmtId="0" fontId="8" fillId="0" borderId="1" xfId="0" applyFont="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3" borderId="1" xfId="0" applyFont="1" applyFill="1" applyBorder="1" applyAlignment="1" applyProtection="1">
      <alignment horizontal="center" vertical="center" wrapText="1"/>
      <protection locked="0"/>
    </xf>
    <xf numFmtId="0" fontId="8" fillId="3" borderId="2" xfId="0" applyFont="1" applyFill="1" applyBorder="1" applyAlignment="1" applyProtection="1">
      <alignment horizontal="center" vertical="center" wrapText="1"/>
      <protection locked="0"/>
    </xf>
    <xf numFmtId="0" fontId="8" fillId="3" borderId="3" xfId="0" applyFont="1" applyFill="1" applyBorder="1" applyAlignment="1" applyProtection="1">
      <alignment horizontal="center" vertical="center" wrapText="1"/>
      <protection locked="0"/>
    </xf>
    <xf numFmtId="168" fontId="8" fillId="0" borderId="1" xfId="0" applyNumberFormat="1" applyFont="1" applyBorder="1" applyAlignment="1" applyProtection="1">
      <alignment horizontal="center" vertical="center"/>
      <protection locked="0"/>
    </xf>
    <xf numFmtId="168" fontId="8" fillId="0" borderId="2" xfId="0" applyNumberFormat="1" applyFont="1" applyBorder="1" applyAlignment="1" applyProtection="1">
      <alignment horizontal="center" vertical="center"/>
      <protection locked="0"/>
    </xf>
    <xf numFmtId="168" fontId="8" fillId="0" borderId="3" xfId="0" applyNumberFormat="1" applyFont="1" applyBorder="1" applyAlignment="1" applyProtection="1">
      <alignment horizontal="center" vertical="center"/>
      <protection locked="0"/>
    </xf>
    <xf numFmtId="167" fontId="8" fillId="3" borderId="1" xfId="0" applyNumberFormat="1" applyFont="1" applyFill="1" applyBorder="1" applyAlignment="1" applyProtection="1">
      <alignment horizontal="center" vertical="center"/>
      <protection locked="0"/>
    </xf>
    <xf numFmtId="167" fontId="8" fillId="3" borderId="2" xfId="0" applyNumberFormat="1" applyFont="1" applyFill="1" applyBorder="1" applyAlignment="1" applyProtection="1">
      <alignment horizontal="center" vertical="center"/>
      <protection locked="0"/>
    </xf>
    <xf numFmtId="0" fontId="8" fillId="5" borderId="1" xfId="0" applyFont="1" applyFill="1" applyBorder="1" applyAlignment="1" applyProtection="1">
      <alignment horizontal="center" vertical="center"/>
      <protection locked="0"/>
    </xf>
    <xf numFmtId="0" fontId="8" fillId="5" borderId="2" xfId="0" applyFont="1" applyFill="1" applyBorder="1" applyAlignment="1" applyProtection="1">
      <alignment horizontal="center" vertical="center"/>
      <protection locked="0"/>
    </xf>
    <xf numFmtId="0" fontId="8" fillId="5" borderId="3" xfId="0" applyFont="1" applyFill="1" applyBorder="1" applyAlignment="1" applyProtection="1">
      <alignment horizontal="center" vertical="center"/>
      <protection locked="0"/>
    </xf>
    <xf numFmtId="0" fontId="8" fillId="0" borderId="4" xfId="0" applyFont="1" applyBorder="1" applyAlignment="1" applyProtection="1">
      <alignment horizontal="center" vertical="center"/>
      <protection locked="0"/>
    </xf>
    <xf numFmtId="0" fontId="8" fillId="0" borderId="5" xfId="0" applyFont="1" applyBorder="1" applyAlignment="1" applyProtection="1">
      <alignment horizontal="center" vertical="center"/>
      <protection locked="0"/>
    </xf>
    <xf numFmtId="0" fontId="8" fillId="0" borderId="6" xfId="0" applyFont="1" applyBorder="1" applyAlignment="1" applyProtection="1">
      <alignment horizontal="center" vertical="center"/>
      <protection locked="0"/>
    </xf>
    <xf numFmtId="0" fontId="8" fillId="0" borderId="7" xfId="0" applyFont="1" applyBorder="1" applyAlignment="1" applyProtection="1">
      <alignment horizontal="center" vertical="center"/>
      <protection locked="0"/>
    </xf>
    <xf numFmtId="0" fontId="8" fillId="0" borderId="8" xfId="0" applyFont="1" applyBorder="1" applyAlignment="1" applyProtection="1">
      <alignment horizontal="center" vertical="center"/>
      <protection locked="0"/>
    </xf>
    <xf numFmtId="0" fontId="8" fillId="0" borderId="9" xfId="0" applyFont="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8" fillId="3" borderId="6" xfId="0" applyFont="1" applyFill="1" applyBorder="1" applyAlignment="1" applyProtection="1">
      <alignment horizontal="center" vertical="center"/>
      <protection locked="0"/>
    </xf>
    <xf numFmtId="0" fontId="8" fillId="3" borderId="7" xfId="0" applyFont="1" applyFill="1" applyBorder="1" applyAlignment="1" applyProtection="1">
      <alignment horizontal="center" vertical="center"/>
      <protection locked="0"/>
    </xf>
    <xf numFmtId="0" fontId="8" fillId="3" borderId="8" xfId="0" applyFont="1" applyFill="1" applyBorder="1" applyAlignment="1" applyProtection="1">
      <alignment horizontal="center" vertical="center"/>
      <protection locked="0"/>
    </xf>
    <xf numFmtId="0" fontId="8" fillId="3" borderId="9" xfId="0" applyFont="1" applyFill="1" applyBorder="1" applyAlignment="1" applyProtection="1">
      <alignment horizontal="center" vertical="center"/>
      <protection locked="0"/>
    </xf>
    <xf numFmtId="0" fontId="8" fillId="0" borderId="4" xfId="0" applyFont="1" applyBorder="1" applyAlignment="1" applyProtection="1">
      <alignment horizontal="left" vertical="top"/>
      <protection locked="0"/>
    </xf>
    <xf numFmtId="0" fontId="8" fillId="0" borderId="5" xfId="0" applyFont="1" applyBorder="1" applyAlignment="1" applyProtection="1">
      <alignment horizontal="left" vertical="top"/>
      <protection locked="0"/>
    </xf>
    <xf numFmtId="0" fontId="8" fillId="0" borderId="6" xfId="0" applyFont="1" applyBorder="1" applyAlignment="1" applyProtection="1">
      <alignment horizontal="left" vertical="top"/>
      <protection locked="0"/>
    </xf>
    <xf numFmtId="0" fontId="8" fillId="0" borderId="10" xfId="0" applyFont="1" applyBorder="1" applyAlignment="1" applyProtection="1">
      <alignment horizontal="left" vertical="top"/>
      <protection locked="0"/>
    </xf>
    <xf numFmtId="0" fontId="8" fillId="0" borderId="0" xfId="0" applyFont="1" applyAlignment="1" applyProtection="1">
      <alignment horizontal="left" vertical="top"/>
      <protection locked="0"/>
    </xf>
    <xf numFmtId="0" fontId="8" fillId="0" borderId="11" xfId="0" applyFont="1" applyBorder="1" applyAlignment="1" applyProtection="1">
      <alignment horizontal="left" vertical="top"/>
      <protection locked="0"/>
    </xf>
    <xf numFmtId="0" fontId="8" fillId="0" borderId="7" xfId="0" applyFont="1" applyBorder="1" applyAlignment="1" applyProtection="1">
      <alignment horizontal="left" vertical="top"/>
      <protection locked="0"/>
    </xf>
    <xf numFmtId="0" fontId="8" fillId="0" borderId="8" xfId="0" applyFont="1" applyBorder="1" applyAlignment="1" applyProtection="1">
      <alignment horizontal="left" vertical="top"/>
      <protection locked="0"/>
    </xf>
    <xf numFmtId="0" fontId="8" fillId="0" borderId="9" xfId="0" applyFont="1" applyBorder="1" applyAlignment="1" applyProtection="1">
      <alignment horizontal="left" vertical="top"/>
      <protection locked="0"/>
    </xf>
    <xf numFmtId="0" fontId="8" fillId="0" borderId="1" xfId="0" applyFont="1" applyBorder="1" applyAlignment="1" applyProtection="1">
      <alignment horizontal="center" vertical="center"/>
    </xf>
    <xf numFmtId="0" fontId="8" fillId="0" borderId="2" xfId="0" applyFont="1" applyBorder="1" applyAlignment="1" applyProtection="1">
      <alignment horizontal="center" vertical="center"/>
    </xf>
    <xf numFmtId="0" fontId="8" fillId="0" borderId="3" xfId="0" applyFont="1" applyBorder="1" applyAlignment="1" applyProtection="1">
      <alignment horizontal="center" vertical="center"/>
    </xf>
    <xf numFmtId="0" fontId="9" fillId="0" borderId="1" xfId="0" applyFont="1" applyBorder="1" applyAlignment="1" applyProtection="1">
      <alignment horizontal="right" vertical="center"/>
    </xf>
    <xf numFmtId="0" fontId="9" fillId="0" borderId="2" xfId="0" applyFont="1" applyBorder="1" applyAlignment="1" applyProtection="1">
      <alignment horizontal="right" vertical="center"/>
    </xf>
    <xf numFmtId="0" fontId="10" fillId="0" borderId="2" xfId="0" applyFont="1" applyBorder="1" applyAlignment="1" applyProtection="1">
      <alignment horizontal="right" wrapText="1"/>
    </xf>
    <xf numFmtId="0" fontId="10" fillId="0" borderId="3" xfId="0" applyFont="1" applyBorder="1" applyAlignment="1" applyProtection="1">
      <alignment horizontal="right" wrapText="1"/>
    </xf>
    <xf numFmtId="0" fontId="8" fillId="0" borderId="0" xfId="0" applyFont="1" applyAlignment="1" applyProtection="1">
      <alignment vertical="center" wrapText="1"/>
    </xf>
    <xf numFmtId="0" fontId="8" fillId="0" borderId="0" xfId="0" applyFont="1" applyProtection="1">
      <alignment vertical="center"/>
    </xf>
    <xf numFmtId="0" fontId="8" fillId="0" borderId="1" xfId="0" applyFont="1" applyBorder="1" applyAlignment="1" applyProtection="1">
      <alignment horizontal="right" vertical="center"/>
    </xf>
    <xf numFmtId="0" fontId="8" fillId="0" borderId="2" xfId="0" applyFont="1" applyBorder="1" applyAlignment="1" applyProtection="1">
      <alignment horizontal="right" vertical="center"/>
    </xf>
    <xf numFmtId="0" fontId="8" fillId="0" borderId="3" xfId="0" applyFont="1" applyBorder="1" applyAlignment="1" applyProtection="1">
      <alignment horizontal="right" vertical="center"/>
    </xf>
    <xf numFmtId="0" fontId="8" fillId="0" borderId="0" xfId="0" applyFont="1" applyAlignment="1" applyProtection="1">
      <alignment horizontal="left" vertical="top" wrapText="1"/>
    </xf>
    <xf numFmtId="0" fontId="12" fillId="0" borderId="1" xfId="0" applyFont="1" applyBorder="1" applyAlignment="1" applyProtection="1">
      <alignment horizontal="center" vertical="center"/>
    </xf>
    <xf numFmtId="0" fontId="12" fillId="0" borderId="2" xfId="0" applyFont="1" applyBorder="1" applyAlignment="1" applyProtection="1">
      <alignment horizontal="center" vertical="center"/>
    </xf>
    <xf numFmtId="0" fontId="12" fillId="0" borderId="3" xfId="0" applyFont="1" applyBorder="1" applyAlignment="1" applyProtection="1">
      <alignment horizontal="center" vertical="center"/>
    </xf>
    <xf numFmtId="0" fontId="13" fillId="0" borderId="1" xfId="0" applyFont="1" applyBorder="1" applyAlignment="1" applyProtection="1">
      <alignment horizontal="right" vertical="center"/>
    </xf>
    <xf numFmtId="0" fontId="13" fillId="0" borderId="2" xfId="0" applyFont="1" applyBorder="1" applyAlignment="1" applyProtection="1">
      <alignment horizontal="right" vertical="center"/>
    </xf>
    <xf numFmtId="0" fontId="13" fillId="0" borderId="3" xfId="0" applyFont="1" applyBorder="1" applyAlignment="1" applyProtection="1">
      <alignment horizontal="right" vertical="center"/>
    </xf>
    <xf numFmtId="0" fontId="13" fillId="0" borderId="1" xfId="0" applyFont="1" applyBorder="1" applyAlignment="1" applyProtection="1">
      <alignment horizontal="right" vertical="center" wrapText="1"/>
    </xf>
    <xf numFmtId="0" fontId="13" fillId="0" borderId="2" xfId="0" applyFont="1" applyBorder="1" applyAlignment="1" applyProtection="1">
      <alignment horizontal="right" vertical="center" wrapText="1"/>
    </xf>
    <xf numFmtId="0" fontId="13" fillId="0" borderId="3" xfId="0" applyFont="1" applyBorder="1" applyAlignment="1" applyProtection="1">
      <alignment horizontal="right" vertical="center" wrapText="1"/>
    </xf>
    <xf numFmtId="167" fontId="8" fillId="0" borderId="2" xfId="0" applyNumberFormat="1" applyFont="1" applyBorder="1" applyAlignment="1" applyProtection="1">
      <alignment horizontal="center" vertical="center"/>
    </xf>
    <xf numFmtId="167" fontId="8" fillId="0" borderId="3" xfId="0" applyNumberFormat="1" applyFont="1" applyBorder="1" applyAlignment="1" applyProtection="1">
      <alignment horizontal="center" vertical="center"/>
    </xf>
    <xf numFmtId="0" fontId="8" fillId="0" borderId="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8" fillId="0" borderId="3" xfId="0" applyFont="1" applyBorder="1" applyAlignment="1" applyProtection="1">
      <alignment horizontal="center" vertical="center" wrapText="1"/>
    </xf>
    <xf numFmtId="0" fontId="14" fillId="0" borderId="1" xfId="0" applyFont="1" applyBorder="1" applyAlignment="1" applyProtection="1">
      <alignment horizontal="right" vertical="center"/>
    </xf>
    <xf numFmtId="0" fontId="14" fillId="0" borderId="2" xfId="0" applyFont="1" applyBorder="1" applyAlignment="1" applyProtection="1">
      <alignment horizontal="right" vertical="center"/>
    </xf>
    <xf numFmtId="0" fontId="14" fillId="0" borderId="3" xfId="0" applyFont="1" applyBorder="1" applyAlignment="1" applyProtection="1">
      <alignment horizontal="right" vertical="center"/>
    </xf>
    <xf numFmtId="0" fontId="14" fillId="0" borderId="1" xfId="0" applyFont="1" applyBorder="1" applyAlignment="1" applyProtection="1">
      <alignment horizontal="center" vertical="center" wrapText="1"/>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2" fillId="4" borderId="1" xfId="0" applyFont="1" applyFill="1" applyBorder="1" applyAlignment="1" applyProtection="1">
      <alignment horizontal="center" vertical="center"/>
    </xf>
    <xf numFmtId="0" fontId="12" fillId="4" borderId="2" xfId="0" applyFont="1" applyFill="1" applyBorder="1" applyAlignment="1" applyProtection="1">
      <alignment horizontal="center" vertical="center"/>
    </xf>
    <xf numFmtId="0" fontId="12" fillId="4" borderId="3" xfId="0" applyFont="1" applyFill="1" applyBorder="1" applyAlignment="1" applyProtection="1">
      <alignment horizontal="center" vertical="center"/>
    </xf>
    <xf numFmtId="0" fontId="15" fillId="0" borderId="1" xfId="0" applyFont="1" applyBorder="1" applyAlignment="1" applyProtection="1">
      <alignment horizontal="center" vertical="center"/>
    </xf>
    <xf numFmtId="0" fontId="15" fillId="0" borderId="2" xfId="0" applyFont="1" applyBorder="1" applyAlignment="1" applyProtection="1">
      <alignment horizontal="center" vertical="center"/>
    </xf>
    <xf numFmtId="0" fontId="15" fillId="0" borderId="3" xfId="0" applyFont="1" applyBorder="1" applyAlignment="1" applyProtection="1">
      <alignment horizontal="center" vertical="center"/>
    </xf>
    <xf numFmtId="0" fontId="8" fillId="0" borderId="4" xfId="0" applyFont="1" applyBorder="1" applyAlignment="1" applyProtection="1">
      <alignment horizontal="center" vertical="center" wrapText="1"/>
    </xf>
    <xf numFmtId="0" fontId="8" fillId="0" borderId="5" xfId="0" applyFont="1" applyBorder="1" applyAlignment="1" applyProtection="1">
      <alignment horizontal="center" vertical="center" wrapText="1"/>
    </xf>
    <xf numFmtId="0" fontId="8" fillId="0" borderId="6" xfId="0" applyFont="1" applyBorder="1" applyAlignment="1" applyProtection="1">
      <alignment horizontal="center" vertical="center" wrapText="1"/>
    </xf>
    <xf numFmtId="0" fontId="8" fillId="0" borderId="0" xfId="0" applyFont="1" applyAlignment="1" applyProtection="1">
      <alignment horizontal="center" vertical="center" wrapText="1"/>
    </xf>
    <xf numFmtId="0" fontId="16" fillId="0" borderId="1" xfId="0" applyFont="1" applyBorder="1" applyAlignment="1" applyProtection="1">
      <alignment horizontal="center" vertical="center" wrapText="1"/>
    </xf>
    <xf numFmtId="0" fontId="8" fillId="0" borderId="7" xfId="0" applyFont="1" applyBorder="1" applyAlignment="1" applyProtection="1">
      <alignment horizontal="center" vertical="center" wrapText="1"/>
    </xf>
    <xf numFmtId="0" fontId="8" fillId="0" borderId="8" xfId="0" applyFont="1" applyBorder="1" applyAlignment="1" applyProtection="1">
      <alignment horizontal="center" vertical="center" wrapText="1"/>
    </xf>
    <xf numFmtId="0" fontId="8" fillId="0" borderId="9" xfId="0" applyFont="1" applyBorder="1" applyAlignment="1" applyProtection="1">
      <alignment horizontal="center" vertical="center" wrapText="1"/>
    </xf>
    <xf numFmtId="0" fontId="8" fillId="0" borderId="10" xfId="0" applyFont="1" applyBorder="1" applyAlignment="1" applyProtection="1">
      <alignment horizontal="center" vertical="center" wrapText="1"/>
    </xf>
    <xf numFmtId="0" fontId="8" fillId="0" borderId="11" xfId="0" applyFont="1" applyBorder="1" applyAlignment="1" applyProtection="1">
      <alignment horizontal="center" vertical="center" wrapText="1"/>
    </xf>
    <xf numFmtId="0" fontId="17" fillId="0" borderId="0" xfId="0" applyFont="1" applyProtection="1">
      <alignment vertical="center"/>
    </xf>
    <xf numFmtId="0" fontId="16" fillId="0" borderId="0" xfId="0" applyFont="1" applyProtection="1">
      <alignment vertical="center"/>
    </xf>
    <xf numFmtId="0" fontId="18" fillId="0" borderId="0" xfId="0" applyFont="1" applyAlignment="1" applyProtection="1">
      <alignment horizontal="center" vertical="center"/>
    </xf>
    <xf numFmtId="0" fontId="18" fillId="0" borderId="0" xfId="0" applyFont="1" applyProtection="1">
      <alignment vertical="center"/>
    </xf>
    <xf numFmtId="0" fontId="8" fillId="0" borderId="4" xfId="0" applyFont="1" applyBorder="1" applyAlignment="1" applyProtection="1">
      <alignment horizontal="center" vertical="center"/>
    </xf>
    <xf numFmtId="0" fontId="8" fillId="0" borderId="6" xfId="0" applyFont="1" applyBorder="1" applyAlignment="1" applyProtection="1">
      <alignment horizontal="center" vertical="center"/>
    </xf>
    <xf numFmtId="0" fontId="8" fillId="0" borderId="7" xfId="0" applyFont="1" applyBorder="1" applyAlignment="1" applyProtection="1">
      <alignment horizontal="center" vertical="center"/>
    </xf>
    <xf numFmtId="0" fontId="8" fillId="0" borderId="9" xfId="0" applyFont="1" applyBorder="1" applyAlignment="1" applyProtection="1">
      <alignment horizontal="center" vertical="center"/>
    </xf>
    <xf numFmtId="49" fontId="8" fillId="0" borderId="1" xfId="0" applyNumberFormat="1" applyFont="1" applyBorder="1" applyAlignment="1" applyProtection="1">
      <alignment horizontal="center" vertical="center" wrapText="1"/>
    </xf>
    <xf numFmtId="49" fontId="8" fillId="0" borderId="2" xfId="0" applyNumberFormat="1" applyFont="1" applyBorder="1" applyAlignment="1" applyProtection="1">
      <alignment horizontal="center" vertical="center" wrapText="1"/>
    </xf>
    <xf numFmtId="49" fontId="8" fillId="0" borderId="3" xfId="0" applyNumberFormat="1" applyFont="1" applyBorder="1" applyAlignment="1" applyProtection="1">
      <alignment horizontal="center" vertical="center" wrapText="1"/>
    </xf>
    <xf numFmtId="0" fontId="19" fillId="0" borderId="1" xfId="0" applyFont="1" applyBorder="1" applyAlignment="1" applyProtection="1">
      <alignment horizontal="center" vertical="center" wrapText="1"/>
    </xf>
    <xf numFmtId="0" fontId="19" fillId="0" borderId="2" xfId="0" applyFont="1" applyBorder="1" applyAlignment="1" applyProtection="1">
      <alignment horizontal="center" vertical="center" wrapText="1"/>
    </xf>
    <xf numFmtId="0" fontId="19" fillId="0" borderId="3" xfId="0" applyFont="1" applyBorder="1" applyAlignment="1" applyProtection="1">
      <alignment horizontal="center" vertical="center" wrapText="1"/>
    </xf>
    <xf numFmtId="168" fontId="8" fillId="0" borderId="1" xfId="0" applyNumberFormat="1" applyFont="1" applyBorder="1" applyAlignment="1" applyProtection="1">
      <alignment horizontal="center" vertical="center"/>
    </xf>
    <xf numFmtId="168" fontId="8" fillId="0" borderId="2" xfId="0" applyNumberFormat="1" applyFont="1" applyBorder="1" applyAlignment="1" applyProtection="1">
      <alignment horizontal="center" vertical="center"/>
    </xf>
    <xf numFmtId="168" fontId="8" fillId="0" borderId="3" xfId="0" applyNumberFormat="1" applyFont="1" applyBorder="1" applyAlignment="1" applyProtection="1">
      <alignment horizontal="center" vertical="center"/>
    </xf>
    <xf numFmtId="169" fontId="8" fillId="0" borderId="1" xfId="0" applyNumberFormat="1" applyFont="1" applyBorder="1" applyAlignment="1" applyProtection="1">
      <alignment horizontal="center" vertical="center" wrapText="1"/>
    </xf>
    <xf numFmtId="169" fontId="8" fillId="0" borderId="2" xfId="0" applyNumberFormat="1" applyFont="1" applyBorder="1" applyAlignment="1" applyProtection="1">
      <alignment horizontal="center" vertical="center" wrapText="1"/>
    </xf>
    <xf numFmtId="169" fontId="8" fillId="0" borderId="3" xfId="0" applyNumberFormat="1" applyFont="1" applyBorder="1" applyAlignment="1" applyProtection="1">
      <alignment horizontal="center" vertical="center" wrapText="1"/>
    </xf>
    <xf numFmtId="0" fontId="8" fillId="0" borderId="5" xfId="0" applyFont="1" applyBorder="1" applyAlignment="1" applyProtection="1">
      <alignment horizontal="center" vertical="center"/>
    </xf>
    <xf numFmtId="0" fontId="8" fillId="0" borderId="10" xfId="0" applyFont="1" applyBorder="1" applyAlignment="1" applyProtection="1">
      <alignment horizontal="center" vertical="center"/>
    </xf>
    <xf numFmtId="0" fontId="8" fillId="0" borderId="0" xfId="0" applyFont="1" applyAlignment="1" applyProtection="1">
      <alignment horizontal="center" vertical="center"/>
    </xf>
    <xf numFmtId="0" fontId="8" fillId="0" borderId="11" xfId="0" applyFont="1" applyBorder="1" applyAlignment="1" applyProtection="1">
      <alignment horizontal="center" vertical="center"/>
    </xf>
    <xf numFmtId="0" fontId="16" fillId="0" borderId="1" xfId="0" applyFont="1" applyBorder="1" applyAlignment="1" applyProtection="1">
      <alignment horizontal="center" vertical="center"/>
    </xf>
    <xf numFmtId="0" fontId="8" fillId="0" borderId="1" xfId="0" applyFont="1" applyBorder="1" applyProtection="1">
      <alignment vertical="center"/>
    </xf>
    <xf numFmtId="0" fontId="8" fillId="0" borderId="3" xfId="0" applyFont="1" applyBorder="1" applyProtection="1">
      <alignment vertical="center"/>
    </xf>
    <xf numFmtId="0" fontId="8" fillId="0" borderId="2" xfId="0" applyFont="1" applyBorder="1" applyProtection="1">
      <alignment vertical="center"/>
    </xf>
    <xf numFmtId="0" fontId="8" fillId="0" borderId="8" xfId="0" applyFont="1" applyBorder="1" applyAlignment="1" applyProtection="1">
      <alignment horizontal="center" vertical="center"/>
    </xf>
    <xf numFmtId="0" fontId="20" fillId="0" borderId="0" xfId="0" applyFont="1" applyProtection="1">
      <alignment vertical="center"/>
    </xf>
    <xf numFmtId="0" fontId="8" fillId="0" borderId="0" xfId="0" applyFont="1" applyAlignment="1" applyProtection="1">
      <alignment horizontal="left" vertical="center"/>
    </xf>
    <xf numFmtId="0" fontId="8" fillId="0" borderId="5" xfId="0" applyFont="1" applyBorder="1" applyAlignment="1" applyProtection="1">
      <alignment horizontal="left" vertical="top" wrapText="1"/>
    </xf>
    <xf numFmtId="0" fontId="8" fillId="0" borderId="0" xfId="0" applyFont="1" applyAlignment="1" applyProtection="1">
      <alignment horizontal="left" vertical="top" wrapText="1"/>
    </xf>
    <xf numFmtId="0" fontId="21" fillId="0" borderId="0" xfId="0" applyFont="1" applyAlignment="1" applyProtection="1">
      <alignment horizontal="center" vertical="top" wrapText="1"/>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8.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62</xdr:row>
          <xdr:rowOff>247650</xdr:rowOff>
        </xdr:from>
        <xdr:to>
          <xdr:col>29</xdr:col>
          <xdr:colOff>63500</xdr:colOff>
          <xdr:row>66</xdr:row>
          <xdr:rowOff>0</xdr:rowOff>
        </xdr:to>
        <xdr:sp macro="" textlink="">
          <xdr:nvSpPr>
            <xdr:cNvPr id="1025" name="Lis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65</xdr:row>
          <xdr:rowOff>247650</xdr:rowOff>
        </xdr:from>
        <xdr:to>
          <xdr:col>7</xdr:col>
          <xdr:colOff>6350</xdr:colOff>
          <xdr:row>66</xdr:row>
          <xdr:rowOff>6350</xdr:rowOff>
        </xdr:to>
        <xdr:sp macro="" textlink="">
          <xdr:nvSpPr>
            <xdr:cNvPr id="1027" name="ListBox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20955</xdr:colOff>
          <xdr:row>55</xdr:row>
          <xdr:rowOff>32385</xdr:rowOff>
        </xdr:from>
        <xdr:to>
          <xdr:col>28</xdr:col>
          <xdr:colOff>150495</xdr:colOff>
          <xdr:row>55</xdr:row>
          <xdr:rowOff>1220470</xdr:rowOff>
        </xdr:to>
        <xdr:pic>
          <xdr:nvPicPr>
            <xdr:cNvPr id="5" name="图片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底部图" spid="_x0000_s1088"/>
                </a:ext>
              </a:extLst>
            </xdr:cNvPicPr>
          </xdr:nvPicPr>
          <xdr:blipFill>
            <a:blip xmlns:r="http://schemas.openxmlformats.org/officeDocument/2006/relationships" r:embed="rId1"/>
            <a:stretch>
              <a:fillRect/>
            </a:stretch>
          </xdr:blipFill>
          <xdr:spPr>
            <a:xfrm>
              <a:off x="3035300" y="15907385"/>
              <a:ext cx="2399030" cy="118808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57150</xdr:colOff>
          <xdr:row>0</xdr:row>
          <xdr:rowOff>127000</xdr:rowOff>
        </xdr:from>
        <xdr:to>
          <xdr:col>41</xdr:col>
          <xdr:colOff>76200</xdr:colOff>
          <xdr:row>0</xdr:row>
          <xdr:rowOff>571500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xdr:row>
          <xdr:rowOff>247650</xdr:rowOff>
        </xdr:from>
        <xdr:to>
          <xdr:col>29</xdr:col>
          <xdr:colOff>63500</xdr:colOff>
          <xdr:row>67</xdr:row>
          <xdr:rowOff>184150</xdr:rowOff>
        </xdr:to>
        <xdr:sp macro="" textlink="">
          <xdr:nvSpPr>
            <xdr:cNvPr id="1064" name="ListBox3"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107587</xdr:colOff>
      <xdr:row>0</xdr:row>
      <xdr:rowOff>29573</xdr:rowOff>
    </xdr:from>
    <xdr:to>
      <xdr:col>7</xdr:col>
      <xdr:colOff>134529</xdr:colOff>
      <xdr:row>0</xdr:row>
      <xdr:rowOff>625203</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315" y="29210"/>
          <a:ext cx="1469390" cy="595630"/>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42</xdr:col>
          <xdr:colOff>76200</xdr:colOff>
          <xdr:row>0</xdr:row>
          <xdr:rowOff>127000</xdr:rowOff>
        </xdr:from>
        <xdr:to>
          <xdr:col>48</xdr:col>
          <xdr:colOff>50800</xdr:colOff>
          <xdr:row>0</xdr:row>
          <xdr:rowOff>571500</xdr:rowOff>
        </xdr:to>
        <xdr:sp macro="" textlink="">
          <xdr:nvSpPr>
            <xdr:cNvPr id="1076" name="CommandButton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223</xdr:row>
      <xdr:rowOff>0</xdr:rowOff>
    </xdr:from>
    <xdr:to>
      <xdr:col>1</xdr:col>
      <xdr:colOff>2197100</xdr:colOff>
      <xdr:row>223</xdr:row>
      <xdr:rowOff>1066800</xdr:rowOff>
    </xdr:to>
    <xdr:pic>
      <xdr:nvPicPr>
        <xdr:cNvPr id="3" name="图片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543810" y="47750730"/>
          <a:ext cx="2197100" cy="1066800"/>
        </a:xfrm>
        <a:prstGeom prst="rect">
          <a:avLst/>
        </a:prstGeom>
        <a:noFill/>
        <a:ln w="9525">
          <a:noFill/>
        </a:ln>
      </xdr:spPr>
    </xdr:pic>
    <xdr:clientData/>
  </xdr:twoCellAnchor>
  <xdr:twoCellAnchor editAs="oneCell">
    <xdr:from>
      <xdr:col>1</xdr:col>
      <xdr:colOff>0</xdr:colOff>
      <xdr:row>222</xdr:row>
      <xdr:rowOff>0</xdr:rowOff>
    </xdr:from>
    <xdr:to>
      <xdr:col>1</xdr:col>
      <xdr:colOff>2331085</xdr:colOff>
      <xdr:row>222</xdr:row>
      <xdr:rowOff>1106170</xdr:rowOff>
    </xdr:to>
    <xdr:pic>
      <xdr:nvPicPr>
        <xdr:cNvPr id="4" name="图片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2543810" y="46607730"/>
          <a:ext cx="2331085" cy="1106170"/>
        </a:xfrm>
        <a:prstGeom prst="rect">
          <a:avLst/>
        </a:prstGeom>
        <a:noFill/>
        <a:ln w="9525">
          <a:noFill/>
        </a:ln>
      </xdr:spPr>
    </xdr:pic>
    <xdr:clientData/>
  </xdr:twoCellAnchor>
  <xdr:twoCellAnchor editAs="oneCell">
    <xdr:from>
      <xdr:col>14</xdr:col>
      <xdr:colOff>177800</xdr:colOff>
      <xdr:row>0</xdr:row>
      <xdr:rowOff>71120</xdr:rowOff>
    </xdr:from>
    <xdr:to>
      <xdr:col>14</xdr:col>
      <xdr:colOff>2603500</xdr:colOff>
      <xdr:row>0</xdr:row>
      <xdr:rowOff>1258570</xdr:rowOff>
    </xdr:to>
    <xdr:pic>
      <xdr:nvPicPr>
        <xdr:cNvPr id="2" name="图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stretch>
          <a:fillRect/>
        </a:stretch>
      </xdr:blipFill>
      <xdr:spPr>
        <a:xfrm>
          <a:off x="19164300" y="71120"/>
          <a:ext cx="2425700" cy="1187450"/>
        </a:xfrm>
        <a:prstGeom prst="rect">
          <a:avLst/>
        </a:prstGeom>
        <a:noFill/>
        <a:ln w="9525">
          <a:noFill/>
        </a:ln>
      </xdr:spPr>
    </xdr:pic>
    <xdr:clientData/>
  </xdr:twoCellAnchor>
  <xdr:twoCellAnchor editAs="oneCell">
    <xdr:from>
      <xdr:col>14</xdr:col>
      <xdr:colOff>203200</xdr:colOff>
      <xdr:row>1</xdr:row>
      <xdr:rowOff>114300</xdr:rowOff>
    </xdr:from>
    <xdr:to>
      <xdr:col>14</xdr:col>
      <xdr:colOff>2451100</xdr:colOff>
      <xdr:row>1</xdr:row>
      <xdr:rowOff>1263650</xdr:rowOff>
    </xdr:to>
    <xdr:pic>
      <xdr:nvPicPr>
        <xdr:cNvPr id="5" name="图片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9189700" y="1422400"/>
          <a:ext cx="2247900" cy="114935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16520/Desktop/&#35746;&#36135;&#35268;&#33539;-&#23450;&#31295;/&#35746;&#36135;&#35268;&#33539;-&#23450;&#31295;/CMA7&#35268;&#33539;&#20070;-&#23450;&#31295;.xlsm" TargetMode="External"/><Relationship Id="rId1" Type="http://schemas.openxmlformats.org/officeDocument/2006/relationships/externalLinkPath" Target="/Users/16520/Desktop/&#35746;&#36135;&#35268;&#33539;-&#23450;&#31295;/&#35746;&#36135;&#35268;&#33539;-&#23450;&#31295;/CMA7&#35268;&#33539;&#20070;-&#23450;&#3129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heet1"/>
      <sheetName val="ku"/>
      <sheetName val="Data Source"/>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mments" Target="../comments1.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87"/>
  <sheetViews>
    <sheetView tabSelected="1" topLeftCell="A41" workbookViewId="0">
      <selection activeCell="H49" sqref="H49:AC49"/>
    </sheetView>
  </sheetViews>
  <sheetFormatPr defaultColWidth="9" defaultRowHeight="14"/>
  <cols>
    <col min="1" max="2" width="2.6328125" style="75" customWidth="1"/>
    <col min="3" max="6" width="2.81640625" style="75" customWidth="1"/>
    <col min="7" max="7" width="3.90625" style="75" customWidth="1"/>
    <col min="8" max="8" width="3.81640625" style="75" customWidth="1"/>
    <col min="9" max="17" width="2.6328125" style="75" customWidth="1"/>
    <col min="18" max="18" width="1.90625" style="75" customWidth="1"/>
    <col min="19" max="19" width="4.453125" style="75" customWidth="1"/>
    <col min="20" max="20" width="2.6328125" style="75" customWidth="1"/>
    <col min="21" max="21" width="1.453125" style="75" customWidth="1"/>
    <col min="22" max="23" width="2.6328125" style="75" customWidth="1"/>
    <col min="24" max="24" width="2" style="75" customWidth="1"/>
    <col min="25" max="25" width="1.81640625" style="75" customWidth="1"/>
    <col min="26" max="27" width="2.6328125" style="75" customWidth="1"/>
    <col min="28" max="28" width="2.08984375" style="75" customWidth="1"/>
    <col min="29" max="30" width="2.6328125" style="75" customWidth="1"/>
    <col min="31" max="31" width="6.36328125" style="75" customWidth="1"/>
    <col min="32" max="35" width="2.6328125" style="75" customWidth="1"/>
    <col min="36" max="36" width="0.81640625" style="75" customWidth="1"/>
    <col min="37" max="37" width="3.6328125" style="75" customWidth="1"/>
    <col min="38" max="48" width="2.6328125" style="75" customWidth="1"/>
    <col min="49" max="52" width="9" style="75"/>
    <col min="53" max="53" width="10.453125" style="75" customWidth="1"/>
    <col min="54" max="16384" width="9" style="75"/>
  </cols>
  <sheetData>
    <row r="1" spans="1:51" ht="50" customHeight="1">
      <c r="A1" s="67"/>
      <c r="B1" s="68"/>
      <c r="C1" s="68"/>
      <c r="D1" s="68"/>
      <c r="E1" s="68"/>
      <c r="F1" s="68"/>
      <c r="G1" s="68"/>
      <c r="H1" s="69"/>
      <c r="I1" s="70" t="s">
        <v>0</v>
      </c>
      <c r="J1" s="71"/>
      <c r="K1" s="71"/>
      <c r="L1" s="71"/>
      <c r="M1" s="71"/>
      <c r="N1" s="71"/>
      <c r="O1" s="71"/>
      <c r="P1" s="71"/>
      <c r="Q1" s="71"/>
      <c r="R1" s="71"/>
      <c r="S1" s="71"/>
      <c r="T1" s="71"/>
      <c r="U1" s="71"/>
      <c r="V1" s="71"/>
      <c r="W1" s="71"/>
      <c r="X1" s="71"/>
      <c r="Y1" s="71"/>
      <c r="Z1" s="71"/>
      <c r="AA1" s="71"/>
      <c r="AB1" s="71"/>
      <c r="AC1" s="71"/>
      <c r="AD1" s="71"/>
      <c r="AE1" s="72" t="s">
        <v>1</v>
      </c>
      <c r="AF1" s="72"/>
      <c r="AG1" s="72"/>
      <c r="AH1" s="72"/>
      <c r="AI1" s="72"/>
      <c r="AJ1" s="73"/>
      <c r="AK1" s="74"/>
      <c r="AL1" s="74"/>
      <c r="AM1" s="74"/>
      <c r="AN1" s="74"/>
      <c r="AO1" s="74"/>
      <c r="AP1" s="74"/>
      <c r="AQ1" s="74"/>
      <c r="AR1" s="74"/>
      <c r="AS1" s="74"/>
      <c r="AT1" s="74"/>
      <c r="AU1" s="74"/>
      <c r="AV1" s="74"/>
      <c r="AW1" s="74"/>
      <c r="AX1" s="74"/>
    </row>
    <row r="2" spans="1:51" ht="18" customHeight="1">
      <c r="A2" s="76" t="s">
        <v>2</v>
      </c>
      <c r="B2" s="77"/>
      <c r="C2" s="78"/>
      <c r="D2" s="17" t="s">
        <v>3</v>
      </c>
      <c r="E2" s="18"/>
      <c r="F2" s="18"/>
      <c r="G2" s="18"/>
      <c r="H2" s="18"/>
      <c r="I2" s="18"/>
      <c r="J2" s="18"/>
      <c r="K2" s="18"/>
      <c r="L2" s="18"/>
      <c r="M2" s="18"/>
      <c r="N2" s="18"/>
      <c r="O2" s="18"/>
      <c r="P2" s="18"/>
      <c r="Q2" s="18"/>
      <c r="R2" s="19"/>
      <c r="S2" s="76" t="s">
        <v>4</v>
      </c>
      <c r="T2" s="77"/>
      <c r="U2" s="77"/>
      <c r="V2" s="77"/>
      <c r="W2" s="77"/>
      <c r="X2" s="77"/>
      <c r="Y2" s="78"/>
      <c r="Z2" s="20"/>
      <c r="AA2" s="21"/>
      <c r="AB2" s="21"/>
      <c r="AC2" s="21"/>
      <c r="AD2" s="21"/>
      <c r="AE2" s="21"/>
      <c r="AF2" s="21"/>
      <c r="AG2" s="21"/>
      <c r="AH2" s="21"/>
      <c r="AI2" s="21"/>
      <c r="AJ2" s="22"/>
      <c r="AK2" s="74"/>
      <c r="AL2" s="79" t="s">
        <v>5</v>
      </c>
      <c r="AM2" s="79"/>
      <c r="AN2" s="79"/>
      <c r="AO2" s="79"/>
      <c r="AP2" s="79"/>
      <c r="AQ2" s="79"/>
      <c r="AR2" s="79"/>
      <c r="AS2" s="79"/>
      <c r="AT2" s="79"/>
      <c r="AU2" s="79"/>
      <c r="AV2" s="79"/>
      <c r="AW2" s="79"/>
      <c r="AX2" s="79"/>
      <c r="AY2" s="79"/>
    </row>
    <row r="3" spans="1:51" ht="18" customHeight="1">
      <c r="A3" s="76" t="s">
        <v>6</v>
      </c>
      <c r="B3" s="77"/>
      <c r="C3" s="78"/>
      <c r="D3" s="23"/>
      <c r="E3" s="24"/>
      <c r="F3" s="24"/>
      <c r="G3" s="24"/>
      <c r="H3" s="24"/>
      <c r="I3" s="24"/>
      <c r="J3" s="24"/>
      <c r="K3" s="24"/>
      <c r="L3" s="24"/>
      <c r="M3" s="24"/>
      <c r="N3" s="24"/>
      <c r="O3" s="24"/>
      <c r="P3" s="24"/>
      <c r="Q3" s="24"/>
      <c r="R3" s="25"/>
      <c r="S3" s="76" t="s">
        <v>7</v>
      </c>
      <c r="T3" s="77"/>
      <c r="U3" s="77"/>
      <c r="V3" s="77"/>
      <c r="W3" s="77"/>
      <c r="X3" s="77"/>
      <c r="Y3" s="78"/>
      <c r="Z3" s="26"/>
      <c r="AA3" s="27"/>
      <c r="AB3" s="27"/>
      <c r="AC3" s="27"/>
      <c r="AD3" s="27"/>
      <c r="AE3" s="27"/>
      <c r="AF3" s="27"/>
      <c r="AG3" s="27"/>
      <c r="AH3" s="27"/>
      <c r="AI3" s="27"/>
      <c r="AJ3" s="28"/>
      <c r="AK3" s="74"/>
      <c r="AL3" s="79"/>
      <c r="AM3" s="79"/>
      <c r="AN3" s="79"/>
      <c r="AO3" s="79"/>
      <c r="AP3" s="79"/>
      <c r="AQ3" s="79"/>
      <c r="AR3" s="79"/>
      <c r="AS3" s="79"/>
      <c r="AT3" s="79"/>
      <c r="AU3" s="79"/>
      <c r="AV3" s="79"/>
      <c r="AW3" s="79"/>
      <c r="AX3" s="79"/>
      <c r="AY3" s="79"/>
    </row>
    <row r="4" spans="1:51" ht="18" customHeight="1">
      <c r="A4" s="80" t="s">
        <v>8</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2"/>
      <c r="AK4" s="74"/>
      <c r="AL4" s="79"/>
      <c r="AM4" s="79"/>
      <c r="AN4" s="79"/>
      <c r="AO4" s="79"/>
      <c r="AP4" s="79"/>
      <c r="AQ4" s="79"/>
      <c r="AR4" s="79"/>
      <c r="AS4" s="79"/>
      <c r="AT4" s="79"/>
      <c r="AU4" s="79"/>
      <c r="AV4" s="79"/>
      <c r="AW4" s="79"/>
      <c r="AX4" s="79"/>
      <c r="AY4" s="79"/>
    </row>
    <row r="5" spans="1:51" ht="18" customHeight="1">
      <c r="A5" s="83" t="s">
        <v>9</v>
      </c>
      <c r="B5" s="84"/>
      <c r="C5" s="85"/>
      <c r="D5" s="20"/>
      <c r="E5" s="21"/>
      <c r="F5" s="21"/>
      <c r="G5" s="21"/>
      <c r="H5" s="21"/>
      <c r="I5" s="21"/>
      <c r="J5" s="21"/>
      <c r="K5" s="21"/>
      <c r="L5" s="21"/>
      <c r="M5" s="21"/>
      <c r="N5" s="21"/>
      <c r="O5" s="21"/>
      <c r="P5" s="21"/>
      <c r="Q5" s="21"/>
      <c r="R5" s="22"/>
      <c r="S5" s="83" t="s">
        <v>10</v>
      </c>
      <c r="T5" s="84"/>
      <c r="U5" s="84"/>
      <c r="V5" s="84"/>
      <c r="W5" s="84"/>
      <c r="X5" s="84"/>
      <c r="Y5" s="85"/>
      <c r="Z5" s="21"/>
      <c r="AA5" s="21"/>
      <c r="AB5" s="21"/>
      <c r="AC5" s="21"/>
      <c r="AD5" s="21"/>
      <c r="AE5" s="21"/>
      <c r="AF5" s="21"/>
      <c r="AG5" s="21"/>
      <c r="AH5" s="21"/>
      <c r="AI5" s="21"/>
      <c r="AJ5" s="22"/>
      <c r="AK5" s="74"/>
      <c r="AL5" s="79"/>
      <c r="AM5" s="79"/>
      <c r="AN5" s="79"/>
      <c r="AO5" s="79"/>
      <c r="AP5" s="79"/>
      <c r="AQ5" s="79"/>
      <c r="AR5" s="79"/>
      <c r="AS5" s="79"/>
      <c r="AT5" s="79"/>
      <c r="AU5" s="79"/>
      <c r="AV5" s="79"/>
      <c r="AW5" s="79"/>
      <c r="AX5" s="79"/>
      <c r="AY5" s="79"/>
    </row>
    <row r="6" spans="1:51" ht="18" customHeight="1">
      <c r="A6" s="76" t="s">
        <v>11</v>
      </c>
      <c r="B6" s="77"/>
      <c r="C6" s="78"/>
      <c r="D6" s="20"/>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2"/>
      <c r="AK6" s="74"/>
      <c r="AL6" s="79"/>
      <c r="AM6" s="79"/>
      <c r="AN6" s="79"/>
      <c r="AO6" s="79"/>
      <c r="AP6" s="79"/>
      <c r="AQ6" s="79"/>
      <c r="AR6" s="79"/>
      <c r="AS6" s="79"/>
      <c r="AT6" s="79"/>
      <c r="AU6" s="79"/>
      <c r="AV6" s="79"/>
      <c r="AW6" s="79"/>
      <c r="AX6" s="79"/>
      <c r="AY6" s="79"/>
    </row>
    <row r="7" spans="1:51" ht="18" customHeight="1">
      <c r="A7" s="80" t="s">
        <v>12</v>
      </c>
      <c r="B7" s="81"/>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2"/>
      <c r="AK7" s="74"/>
      <c r="AL7" s="79"/>
      <c r="AM7" s="79"/>
      <c r="AN7" s="79"/>
      <c r="AO7" s="79"/>
      <c r="AP7" s="79"/>
      <c r="AQ7" s="79"/>
      <c r="AR7" s="79"/>
      <c r="AS7" s="79"/>
      <c r="AT7" s="79"/>
      <c r="AU7" s="79"/>
      <c r="AV7" s="79"/>
      <c r="AW7" s="79"/>
      <c r="AX7" s="79"/>
      <c r="AY7" s="79"/>
    </row>
    <row r="8" spans="1:51" ht="18" customHeight="1">
      <c r="A8" s="76" t="s">
        <v>13</v>
      </c>
      <c r="B8" s="77"/>
      <c r="C8" s="77"/>
      <c r="D8" s="77"/>
      <c r="E8" s="77"/>
      <c r="F8" s="77"/>
      <c r="G8" s="78"/>
      <c r="H8" s="20"/>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2"/>
      <c r="AK8" s="74"/>
      <c r="AL8" s="79"/>
      <c r="AM8" s="79"/>
      <c r="AN8" s="79"/>
      <c r="AO8" s="79"/>
      <c r="AP8" s="79"/>
      <c r="AQ8" s="79"/>
      <c r="AR8" s="79"/>
      <c r="AS8" s="79"/>
      <c r="AT8" s="79"/>
      <c r="AU8" s="79"/>
      <c r="AV8" s="79"/>
      <c r="AW8" s="79"/>
      <c r="AX8" s="79"/>
      <c r="AY8" s="79"/>
    </row>
    <row r="9" spans="1:51" ht="18" customHeight="1">
      <c r="A9" s="76" t="s">
        <v>14</v>
      </c>
      <c r="B9" s="77"/>
      <c r="C9" s="77"/>
      <c r="D9" s="77"/>
      <c r="E9" s="77"/>
      <c r="F9" s="77"/>
      <c r="G9" s="78"/>
      <c r="H9" s="20"/>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2"/>
      <c r="AK9" s="74"/>
      <c r="AL9" s="79"/>
      <c r="AM9" s="79"/>
      <c r="AN9" s="79"/>
      <c r="AO9" s="79"/>
      <c r="AP9" s="79"/>
      <c r="AQ9" s="79"/>
      <c r="AR9" s="79"/>
      <c r="AS9" s="79"/>
      <c r="AT9" s="79"/>
      <c r="AU9" s="79"/>
      <c r="AV9" s="79"/>
      <c r="AW9" s="79"/>
      <c r="AX9" s="79"/>
      <c r="AY9" s="79"/>
    </row>
    <row r="10" spans="1:51" ht="18" hidden="1" customHeight="1">
      <c r="A10" s="76" t="s">
        <v>15</v>
      </c>
      <c r="B10" s="77"/>
      <c r="C10" s="77"/>
      <c r="D10" s="77"/>
      <c r="E10" s="77"/>
      <c r="F10" s="77"/>
      <c r="G10" s="78"/>
      <c r="H10" s="17"/>
      <c r="I10" s="18"/>
      <c r="J10" s="18"/>
      <c r="K10" s="18"/>
      <c r="L10" s="18"/>
      <c r="M10" s="18"/>
      <c r="N10" s="18"/>
      <c r="O10" s="18"/>
      <c r="P10" s="18"/>
      <c r="Q10" s="18"/>
      <c r="R10" s="19"/>
      <c r="S10" s="76" t="s">
        <v>16</v>
      </c>
      <c r="T10" s="77"/>
      <c r="U10" s="77"/>
      <c r="V10" s="77"/>
      <c r="W10" s="77"/>
      <c r="X10" s="77"/>
      <c r="Y10" s="78"/>
      <c r="Z10" s="20"/>
      <c r="AA10" s="21"/>
      <c r="AB10" s="21"/>
      <c r="AC10" s="21"/>
      <c r="AD10" s="21"/>
      <c r="AE10" s="21"/>
      <c r="AF10" s="21"/>
      <c r="AG10" s="21"/>
      <c r="AH10" s="21"/>
      <c r="AI10" s="21"/>
      <c r="AJ10" s="22"/>
      <c r="AK10" s="74"/>
      <c r="AL10" s="79"/>
      <c r="AM10" s="79"/>
      <c r="AN10" s="79"/>
      <c r="AO10" s="79"/>
      <c r="AP10" s="79"/>
      <c r="AQ10" s="79"/>
      <c r="AR10" s="79"/>
      <c r="AS10" s="79"/>
      <c r="AT10" s="79"/>
      <c r="AU10" s="79"/>
      <c r="AV10" s="79"/>
      <c r="AW10" s="79"/>
      <c r="AX10" s="79"/>
      <c r="AY10" s="79"/>
    </row>
    <row r="11" spans="1:51" ht="18" customHeight="1">
      <c r="A11" s="76" t="s">
        <v>17</v>
      </c>
      <c r="B11" s="77"/>
      <c r="C11" s="77"/>
      <c r="D11" s="77"/>
      <c r="E11" s="77"/>
      <c r="F11" s="77"/>
      <c r="G11" s="78"/>
      <c r="H11" s="20"/>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2"/>
      <c r="AK11" s="74"/>
      <c r="AL11" s="79"/>
      <c r="AM11" s="79"/>
      <c r="AN11" s="79"/>
      <c r="AO11" s="79"/>
      <c r="AP11" s="79"/>
      <c r="AQ11" s="79"/>
      <c r="AR11" s="79"/>
      <c r="AS11" s="79"/>
      <c r="AT11" s="79"/>
      <c r="AU11" s="79"/>
      <c r="AV11" s="79"/>
      <c r="AW11" s="79"/>
      <c r="AX11" s="79"/>
      <c r="AY11" s="79"/>
    </row>
    <row r="12" spans="1:51" ht="18" customHeight="1">
      <c r="A12" s="76" t="s">
        <v>18</v>
      </c>
      <c r="B12" s="77"/>
      <c r="C12" s="77"/>
      <c r="D12" s="77"/>
      <c r="E12" s="77"/>
      <c r="F12" s="77"/>
      <c r="G12" s="78"/>
      <c r="H12" s="20"/>
      <c r="I12" s="21"/>
      <c r="J12" s="21"/>
      <c r="K12" s="21"/>
      <c r="L12" s="21"/>
      <c r="M12" s="21"/>
      <c r="N12" s="21"/>
      <c r="O12" s="21"/>
      <c r="P12" s="21"/>
      <c r="Q12" s="21"/>
      <c r="R12" s="22"/>
      <c r="S12" s="76" t="s">
        <v>19</v>
      </c>
      <c r="T12" s="77"/>
      <c r="U12" s="77"/>
      <c r="V12" s="77"/>
      <c r="W12" s="77"/>
      <c r="X12" s="77"/>
      <c r="Y12" s="78"/>
      <c r="Z12" s="17"/>
      <c r="AA12" s="18"/>
      <c r="AB12" s="18"/>
      <c r="AC12" s="18"/>
      <c r="AD12" s="18"/>
      <c r="AE12" s="18"/>
      <c r="AF12" s="18"/>
      <c r="AG12" s="18"/>
      <c r="AH12" s="18"/>
      <c r="AI12" s="18"/>
      <c r="AJ12" s="19"/>
      <c r="AK12" s="74"/>
      <c r="AL12" s="79"/>
      <c r="AM12" s="79"/>
      <c r="AN12" s="79"/>
      <c r="AO12" s="79"/>
      <c r="AP12" s="79"/>
      <c r="AQ12" s="79"/>
      <c r="AR12" s="79"/>
      <c r="AS12" s="79"/>
      <c r="AT12" s="79"/>
      <c r="AU12" s="79"/>
      <c r="AV12" s="79"/>
      <c r="AW12" s="79"/>
      <c r="AX12" s="79"/>
      <c r="AY12" s="79"/>
    </row>
    <row r="13" spans="1:51" ht="18" customHeight="1">
      <c r="A13" s="76" t="s">
        <v>20</v>
      </c>
      <c r="B13" s="77"/>
      <c r="C13" s="77"/>
      <c r="D13" s="77"/>
      <c r="E13" s="77"/>
      <c r="F13" s="77"/>
      <c r="G13" s="78"/>
      <c r="H13" s="20"/>
      <c r="I13" s="21"/>
      <c r="J13" s="21"/>
      <c r="K13" s="21"/>
      <c r="L13" s="21"/>
      <c r="M13" s="21"/>
      <c r="N13" s="21"/>
      <c r="O13" s="21"/>
      <c r="P13" s="21"/>
      <c r="Q13" s="21"/>
      <c r="R13" s="22"/>
      <c r="S13" s="76" t="s">
        <v>21</v>
      </c>
      <c r="T13" s="77"/>
      <c r="U13" s="77"/>
      <c r="V13" s="77"/>
      <c r="W13" s="77"/>
      <c r="X13" s="77"/>
      <c r="Y13" s="78"/>
      <c r="Z13" s="20"/>
      <c r="AA13" s="21"/>
      <c r="AB13" s="21"/>
      <c r="AC13" s="21"/>
      <c r="AD13" s="21"/>
      <c r="AE13" s="21"/>
      <c r="AF13" s="21"/>
      <c r="AG13" s="21"/>
      <c r="AH13" s="21"/>
      <c r="AI13" s="21"/>
      <c r="AJ13" s="22"/>
      <c r="AL13" s="79"/>
      <c r="AM13" s="79"/>
      <c r="AN13" s="79"/>
      <c r="AO13" s="79"/>
      <c r="AP13" s="79"/>
      <c r="AQ13" s="79"/>
      <c r="AR13" s="79"/>
      <c r="AS13" s="79"/>
      <c r="AT13" s="79"/>
      <c r="AU13" s="79"/>
      <c r="AV13" s="79"/>
      <c r="AW13" s="79"/>
      <c r="AX13" s="79"/>
      <c r="AY13" s="79"/>
    </row>
    <row r="14" spans="1:51" ht="18" hidden="1" customHeight="1">
      <c r="A14" s="76" t="s">
        <v>22</v>
      </c>
      <c r="B14" s="77"/>
      <c r="C14" s="77"/>
      <c r="D14" s="77"/>
      <c r="E14" s="77"/>
      <c r="F14" s="77"/>
      <c r="G14" s="78"/>
      <c r="H14" s="20"/>
      <c r="I14" s="21"/>
      <c r="J14" s="21"/>
      <c r="K14" s="21"/>
      <c r="L14" s="21"/>
      <c r="M14" s="21"/>
      <c r="N14" s="21"/>
      <c r="O14" s="21"/>
      <c r="P14" s="21"/>
      <c r="Q14" s="21"/>
      <c r="R14" s="22"/>
      <c r="S14" s="76" t="s">
        <v>23</v>
      </c>
      <c r="T14" s="77"/>
      <c r="U14" s="77"/>
      <c r="V14" s="77"/>
      <c r="W14" s="77"/>
      <c r="X14" s="77"/>
      <c r="Y14" s="78"/>
      <c r="Z14" s="20"/>
      <c r="AA14" s="21"/>
      <c r="AB14" s="21"/>
      <c r="AC14" s="21"/>
      <c r="AD14" s="21"/>
      <c r="AE14" s="21"/>
      <c r="AF14" s="21"/>
      <c r="AG14" s="21"/>
      <c r="AH14" s="21"/>
      <c r="AI14" s="21"/>
      <c r="AJ14" s="22"/>
      <c r="AL14" s="79"/>
      <c r="AM14" s="79"/>
      <c r="AN14" s="79"/>
      <c r="AO14" s="79"/>
      <c r="AP14" s="79"/>
      <c r="AQ14" s="79"/>
      <c r="AR14" s="79"/>
      <c r="AS14" s="79"/>
      <c r="AT14" s="79"/>
      <c r="AU14" s="79"/>
      <c r="AV14" s="79"/>
      <c r="AW14" s="79"/>
      <c r="AX14" s="79"/>
      <c r="AY14" s="79"/>
    </row>
    <row r="15" spans="1:51" ht="18" customHeight="1">
      <c r="A15" s="80" t="s">
        <v>24</v>
      </c>
      <c r="B15" s="81"/>
      <c r="C15" s="81"/>
      <c r="D15" s="81"/>
      <c r="E15" s="81"/>
      <c r="F15" s="81"/>
      <c r="G15" s="81"/>
      <c r="H15" s="81"/>
      <c r="I15" s="81"/>
      <c r="J15" s="81"/>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2"/>
      <c r="AL15" s="79"/>
      <c r="AM15" s="79"/>
      <c r="AN15" s="79"/>
      <c r="AO15" s="79"/>
      <c r="AP15" s="79"/>
      <c r="AQ15" s="79"/>
      <c r="AR15" s="79"/>
      <c r="AS15" s="79"/>
      <c r="AT15" s="79"/>
      <c r="AU15" s="79"/>
      <c r="AV15" s="79"/>
      <c r="AW15" s="79"/>
      <c r="AX15" s="79"/>
      <c r="AY15" s="79"/>
    </row>
    <row r="16" spans="1:51" ht="36" customHeight="1">
      <c r="A16" s="76" t="s">
        <v>25</v>
      </c>
      <c r="B16" s="77"/>
      <c r="C16" s="77"/>
      <c r="D16" s="77"/>
      <c r="E16" s="77"/>
      <c r="F16" s="77"/>
      <c r="G16" s="78"/>
      <c r="H16" s="17"/>
      <c r="I16" s="18"/>
      <c r="J16" s="18"/>
      <c r="K16" s="18"/>
      <c r="L16" s="18"/>
      <c r="M16" s="18"/>
      <c r="N16" s="18"/>
      <c r="O16" s="18"/>
      <c r="P16" s="18"/>
      <c r="Q16" s="18"/>
      <c r="R16" s="19"/>
      <c r="S16" s="86" t="s">
        <v>26</v>
      </c>
      <c r="T16" s="87"/>
      <c r="U16" s="87"/>
      <c r="V16" s="87"/>
      <c r="W16" s="87"/>
      <c r="X16" s="87"/>
      <c r="Y16" s="88"/>
      <c r="Z16" s="29">
        <v>17</v>
      </c>
      <c r="AA16" s="30"/>
      <c r="AB16" s="30"/>
      <c r="AC16" s="30"/>
      <c r="AD16" s="30"/>
      <c r="AE16" s="30"/>
      <c r="AF16" s="30"/>
      <c r="AG16" s="30"/>
      <c r="AH16" s="30"/>
      <c r="AI16" s="30"/>
      <c r="AJ16" s="31"/>
      <c r="AL16" s="79"/>
      <c r="AM16" s="79"/>
      <c r="AN16" s="79"/>
      <c r="AO16" s="79"/>
      <c r="AP16" s="79"/>
      <c r="AQ16" s="79"/>
      <c r="AR16" s="79"/>
      <c r="AS16" s="79"/>
      <c r="AT16" s="79"/>
      <c r="AU16" s="79"/>
      <c r="AV16" s="79"/>
      <c r="AW16" s="79"/>
      <c r="AX16" s="79"/>
      <c r="AY16" s="79"/>
    </row>
    <row r="17" spans="1:49" ht="36" customHeight="1">
      <c r="A17" s="76" t="s">
        <v>27</v>
      </c>
      <c r="B17" s="77"/>
      <c r="C17" s="77"/>
      <c r="D17" s="77"/>
      <c r="E17" s="77"/>
      <c r="F17" s="77"/>
      <c r="G17" s="78"/>
      <c r="H17" s="32" t="s">
        <v>28</v>
      </c>
      <c r="I17" s="33"/>
      <c r="J17" s="33"/>
      <c r="K17" s="33"/>
      <c r="L17" s="33"/>
      <c r="M17" s="33"/>
      <c r="N17" s="33"/>
      <c r="O17" s="34"/>
      <c r="P17" s="32" t="s">
        <v>29</v>
      </c>
      <c r="Q17" s="33"/>
      <c r="R17" s="33"/>
      <c r="S17" s="33"/>
      <c r="T17" s="33"/>
      <c r="U17" s="33"/>
      <c r="V17" s="33"/>
      <c r="W17" s="33"/>
      <c r="X17" s="33"/>
      <c r="Y17" s="33"/>
      <c r="Z17" s="33"/>
      <c r="AA17" s="34"/>
      <c r="AB17" s="32" t="s">
        <v>30</v>
      </c>
      <c r="AC17" s="33"/>
      <c r="AD17" s="33"/>
      <c r="AE17" s="33"/>
      <c r="AF17" s="33"/>
      <c r="AG17" s="33"/>
      <c r="AH17" s="33"/>
      <c r="AI17" s="33"/>
      <c r="AJ17" s="34"/>
    </row>
    <row r="18" spans="1:49" ht="36" customHeight="1">
      <c r="A18" s="94" t="s">
        <v>31</v>
      </c>
      <c r="B18" s="95"/>
      <c r="C18" s="95"/>
      <c r="D18" s="95"/>
      <c r="E18" s="95"/>
      <c r="F18" s="95"/>
      <c r="G18" s="96"/>
      <c r="H18" s="97" t="s">
        <v>32</v>
      </c>
      <c r="I18" s="98"/>
      <c r="J18" s="98"/>
      <c r="K18" s="98"/>
      <c r="L18" s="98"/>
      <c r="M18" s="98"/>
      <c r="N18" s="98"/>
      <c r="O18" s="99"/>
      <c r="P18" s="97" t="s">
        <v>33</v>
      </c>
      <c r="Q18" s="98"/>
      <c r="R18" s="98"/>
      <c r="S18" s="98"/>
      <c r="T18" s="98"/>
      <c r="U18" s="98"/>
      <c r="V18" s="98"/>
      <c r="W18" s="98"/>
      <c r="X18" s="98"/>
      <c r="Y18" s="98"/>
      <c r="Z18" s="98"/>
      <c r="AA18" s="99"/>
      <c r="AB18" s="97" t="s">
        <v>34</v>
      </c>
      <c r="AC18" s="98"/>
      <c r="AD18" s="98"/>
      <c r="AE18" s="98"/>
      <c r="AF18" s="98"/>
      <c r="AG18" s="98"/>
      <c r="AH18" s="98"/>
      <c r="AI18" s="98"/>
      <c r="AJ18" s="99"/>
    </row>
    <row r="19" spans="1:49" ht="36" customHeight="1">
      <c r="A19" s="100" t="s">
        <v>35</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02"/>
    </row>
    <row r="20" spans="1:49" ht="36" customHeight="1">
      <c r="A20" s="91" t="s">
        <v>36</v>
      </c>
      <c r="B20" s="92"/>
      <c r="C20" s="92"/>
      <c r="D20" s="92"/>
      <c r="E20" s="92"/>
      <c r="F20" s="92"/>
      <c r="G20" s="93"/>
      <c r="H20" s="103" t="s">
        <v>37</v>
      </c>
      <c r="I20" s="104"/>
      <c r="J20" s="104"/>
      <c r="K20" s="104"/>
      <c r="L20" s="104"/>
      <c r="M20" s="104"/>
      <c r="N20" s="104"/>
      <c r="O20" s="104"/>
      <c r="P20" s="104"/>
      <c r="Q20" s="104"/>
      <c r="R20" s="104"/>
      <c r="S20" s="104"/>
      <c r="T20" s="104"/>
      <c r="U20" s="104"/>
      <c r="V20" s="104"/>
      <c r="W20" s="104"/>
      <c r="X20" s="104"/>
      <c r="Y20" s="104"/>
      <c r="Z20" s="104"/>
      <c r="AA20" s="104"/>
      <c r="AB20" s="104"/>
      <c r="AC20" s="105"/>
      <c r="AD20" s="106"/>
      <c r="AE20" s="107"/>
      <c r="AF20" s="107"/>
      <c r="AG20" s="107"/>
      <c r="AH20" s="107"/>
      <c r="AI20" s="107"/>
      <c r="AJ20" s="108"/>
      <c r="AN20" s="109"/>
      <c r="AO20" s="109"/>
      <c r="AP20" s="109"/>
      <c r="AQ20" s="109"/>
      <c r="AR20" s="109"/>
      <c r="AS20" s="109"/>
      <c r="AT20" s="109"/>
      <c r="AU20" s="109"/>
      <c r="AV20" s="109"/>
      <c r="AW20" s="109"/>
    </row>
    <row r="21" spans="1:49" ht="36" hidden="1" customHeight="1">
      <c r="A21" s="110" t="s">
        <v>38</v>
      </c>
      <c r="B21" s="92"/>
      <c r="C21" s="92"/>
      <c r="D21" s="92"/>
      <c r="E21" s="92"/>
      <c r="F21" s="92"/>
      <c r="G21" s="93"/>
      <c r="H21" s="17" t="s">
        <v>39</v>
      </c>
      <c r="I21" s="18"/>
      <c r="J21" s="18"/>
      <c r="K21" s="18"/>
      <c r="L21" s="18"/>
      <c r="M21" s="18"/>
      <c r="N21" s="18"/>
      <c r="O21" s="18"/>
      <c r="P21" s="18"/>
      <c r="Q21" s="18"/>
      <c r="R21" s="18"/>
      <c r="S21" s="18"/>
      <c r="T21" s="18"/>
      <c r="U21" s="18"/>
      <c r="V21" s="18"/>
      <c r="W21" s="18"/>
      <c r="X21" s="18"/>
      <c r="Y21" s="18"/>
      <c r="Z21" s="18"/>
      <c r="AA21" s="18"/>
      <c r="AB21" s="18"/>
      <c r="AC21" s="19"/>
      <c r="AD21" s="111"/>
      <c r="AE21" s="112"/>
      <c r="AF21" s="112"/>
      <c r="AG21" s="112"/>
      <c r="AH21" s="112"/>
      <c r="AI21" s="112"/>
      <c r="AJ21" s="113"/>
    </row>
    <row r="22" spans="1:49" ht="36" customHeight="1">
      <c r="A22" s="100" t="s">
        <v>40</v>
      </c>
      <c r="B22" s="101"/>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2"/>
    </row>
    <row r="23" spans="1:49" ht="36" customHeight="1">
      <c r="A23" s="106" t="s">
        <v>41</v>
      </c>
      <c r="B23" s="107"/>
      <c r="C23" s="107"/>
      <c r="D23" s="107"/>
      <c r="E23" s="107"/>
      <c r="F23" s="107"/>
      <c r="G23" s="108"/>
      <c r="H23" s="17" t="s">
        <v>42</v>
      </c>
      <c r="I23" s="18"/>
      <c r="J23" s="18"/>
      <c r="K23" s="18"/>
      <c r="L23" s="18"/>
      <c r="M23" s="18"/>
      <c r="N23" s="18"/>
      <c r="O23" s="18"/>
      <c r="P23" s="18"/>
      <c r="Q23" s="18"/>
      <c r="R23" s="18"/>
      <c r="S23" s="18"/>
      <c r="T23" s="18"/>
      <c r="U23" s="18"/>
      <c r="V23" s="18"/>
      <c r="W23" s="18"/>
      <c r="X23" s="18"/>
      <c r="Y23" s="18"/>
      <c r="Z23" s="18"/>
      <c r="AA23" s="18"/>
      <c r="AB23" s="18"/>
      <c r="AC23" s="19"/>
      <c r="AD23" s="106"/>
      <c r="AE23" s="107"/>
      <c r="AF23" s="107"/>
      <c r="AG23" s="107"/>
      <c r="AH23" s="107"/>
      <c r="AI23" s="107"/>
      <c r="AJ23" s="108"/>
      <c r="AN23" s="74"/>
      <c r="AO23" s="74"/>
      <c r="AP23" s="74"/>
      <c r="AQ23" s="74"/>
      <c r="AR23" s="74"/>
      <c r="AS23" s="74"/>
      <c r="AT23" s="74"/>
      <c r="AU23" s="74"/>
      <c r="AV23" s="74"/>
      <c r="AW23" s="74"/>
    </row>
    <row r="24" spans="1:49" ht="36" hidden="1" customHeight="1">
      <c r="A24" s="111"/>
      <c r="B24" s="112"/>
      <c r="C24" s="112"/>
      <c r="D24" s="112"/>
      <c r="E24" s="112"/>
      <c r="F24" s="112"/>
      <c r="G24" s="113"/>
      <c r="H24" s="17"/>
      <c r="I24" s="18"/>
      <c r="J24" s="18"/>
      <c r="K24" s="18"/>
      <c r="L24" s="18"/>
      <c r="M24" s="18"/>
      <c r="N24" s="18"/>
      <c r="O24" s="18"/>
      <c r="P24" s="18"/>
      <c r="Q24" s="18"/>
      <c r="R24" s="18"/>
      <c r="S24" s="18"/>
      <c r="T24" s="18"/>
      <c r="U24" s="18"/>
      <c r="V24" s="18"/>
      <c r="W24" s="18"/>
      <c r="X24" s="18"/>
      <c r="Y24" s="18"/>
      <c r="Z24" s="18"/>
      <c r="AA24" s="18"/>
      <c r="AB24" s="18"/>
      <c r="AC24" s="19"/>
      <c r="AD24" s="114"/>
      <c r="AE24" s="109"/>
      <c r="AF24" s="109"/>
      <c r="AG24" s="109"/>
      <c r="AH24" s="109"/>
      <c r="AI24" s="109"/>
      <c r="AJ24" s="115"/>
      <c r="AN24" s="74"/>
      <c r="AO24" s="74"/>
      <c r="AP24" s="74"/>
      <c r="AQ24" s="74"/>
      <c r="AR24" s="74"/>
      <c r="AS24" s="74"/>
      <c r="AT24" s="74"/>
      <c r="AU24" s="74"/>
      <c r="AV24" s="74"/>
      <c r="AW24" s="74"/>
    </row>
    <row r="25" spans="1:49" ht="36" customHeight="1">
      <c r="A25" s="67" t="s">
        <v>43</v>
      </c>
      <c r="B25" s="68"/>
      <c r="C25" s="68"/>
      <c r="D25" s="68"/>
      <c r="E25" s="68"/>
      <c r="F25" s="68"/>
      <c r="G25" s="69"/>
      <c r="H25" s="17" t="s">
        <v>44</v>
      </c>
      <c r="I25" s="18"/>
      <c r="J25" s="18"/>
      <c r="K25" s="18"/>
      <c r="L25" s="18"/>
      <c r="M25" s="18"/>
      <c r="N25" s="18"/>
      <c r="O25" s="18"/>
      <c r="P25" s="18"/>
      <c r="Q25" s="18"/>
      <c r="R25" s="18"/>
      <c r="S25" s="18"/>
      <c r="T25" s="18"/>
      <c r="U25" s="18"/>
      <c r="V25" s="18"/>
      <c r="W25" s="18"/>
      <c r="X25" s="18"/>
      <c r="Y25" s="18"/>
      <c r="Z25" s="18"/>
      <c r="AA25" s="18"/>
      <c r="AB25" s="18"/>
      <c r="AC25" s="19"/>
      <c r="AD25" s="114"/>
      <c r="AE25" s="109"/>
      <c r="AF25" s="109"/>
      <c r="AG25" s="109"/>
      <c r="AH25" s="109"/>
      <c r="AI25" s="109"/>
      <c r="AJ25" s="115"/>
      <c r="AN25" s="109"/>
      <c r="AO25" s="109"/>
      <c r="AP25" s="109"/>
      <c r="AQ25" s="109"/>
      <c r="AR25" s="109"/>
      <c r="AS25" s="109"/>
      <c r="AT25" s="109"/>
      <c r="AU25" s="109"/>
      <c r="AV25" s="109"/>
      <c r="AW25" s="109"/>
    </row>
    <row r="26" spans="1:49" ht="36" customHeight="1">
      <c r="A26" s="91" t="s">
        <v>45</v>
      </c>
      <c r="B26" s="92"/>
      <c r="C26" s="92"/>
      <c r="D26" s="92"/>
      <c r="E26" s="92"/>
      <c r="F26" s="92"/>
      <c r="G26" s="93"/>
      <c r="H26" s="17" t="s">
        <v>46</v>
      </c>
      <c r="I26" s="18"/>
      <c r="J26" s="18"/>
      <c r="K26" s="18"/>
      <c r="L26" s="18"/>
      <c r="M26" s="18"/>
      <c r="N26" s="18"/>
      <c r="O26" s="18"/>
      <c r="P26" s="18"/>
      <c r="Q26" s="18"/>
      <c r="R26" s="18"/>
      <c r="S26" s="18"/>
      <c r="T26" s="18"/>
      <c r="U26" s="18"/>
      <c r="V26" s="18"/>
      <c r="W26" s="18"/>
      <c r="X26" s="18"/>
      <c r="Y26" s="18"/>
      <c r="Z26" s="18"/>
      <c r="AA26" s="18"/>
      <c r="AB26" s="18"/>
      <c r="AC26" s="19"/>
      <c r="AD26" s="114"/>
      <c r="AE26" s="109"/>
      <c r="AF26" s="109"/>
      <c r="AG26" s="109"/>
      <c r="AH26" s="109"/>
      <c r="AI26" s="109"/>
      <c r="AJ26" s="115"/>
      <c r="AN26" s="109"/>
      <c r="AO26" s="109"/>
      <c r="AP26" s="109"/>
      <c r="AQ26" s="109"/>
      <c r="AR26" s="109"/>
      <c r="AS26" s="109"/>
      <c r="AT26" s="109"/>
      <c r="AU26" s="109"/>
      <c r="AV26" s="109"/>
      <c r="AW26" s="109"/>
    </row>
    <row r="27" spans="1:49" ht="36" customHeight="1">
      <c r="A27" s="91" t="s">
        <v>47</v>
      </c>
      <c r="B27" s="92"/>
      <c r="C27" s="92"/>
      <c r="D27" s="92"/>
      <c r="E27" s="92"/>
      <c r="F27" s="92"/>
      <c r="G27" s="93"/>
      <c r="H27" s="17" t="s">
        <v>44</v>
      </c>
      <c r="I27" s="18"/>
      <c r="J27" s="18"/>
      <c r="K27" s="18"/>
      <c r="L27" s="18"/>
      <c r="M27" s="18"/>
      <c r="N27" s="18"/>
      <c r="O27" s="18"/>
      <c r="P27" s="18"/>
      <c r="Q27" s="18"/>
      <c r="R27" s="18"/>
      <c r="S27" s="18"/>
      <c r="T27" s="18"/>
      <c r="U27" s="18"/>
      <c r="V27" s="18"/>
      <c r="W27" s="18"/>
      <c r="X27" s="18"/>
      <c r="Y27" s="18"/>
      <c r="Z27" s="18"/>
      <c r="AA27" s="18"/>
      <c r="AB27" s="18"/>
      <c r="AC27" s="19"/>
      <c r="AD27" s="111"/>
      <c r="AE27" s="112"/>
      <c r="AF27" s="112"/>
      <c r="AG27" s="112"/>
      <c r="AH27" s="112"/>
      <c r="AI27" s="112"/>
      <c r="AJ27" s="113"/>
    </row>
    <row r="28" spans="1:49" ht="36" customHeight="1">
      <c r="A28" s="100" t="s">
        <v>48</v>
      </c>
      <c r="B28" s="101"/>
      <c r="C28" s="101"/>
      <c r="D28" s="101"/>
      <c r="E28" s="101"/>
      <c r="F28" s="101"/>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2"/>
    </row>
    <row r="29" spans="1:49" s="74" customFormat="1" ht="36" customHeight="1">
      <c r="A29" s="106" t="s">
        <v>41</v>
      </c>
      <c r="B29" s="107"/>
      <c r="C29" s="107"/>
      <c r="D29" s="107"/>
      <c r="E29" s="107"/>
      <c r="F29" s="107"/>
      <c r="G29" s="108"/>
      <c r="H29" s="17" t="s">
        <v>42</v>
      </c>
      <c r="I29" s="18"/>
      <c r="J29" s="18"/>
      <c r="K29" s="18"/>
      <c r="L29" s="18"/>
      <c r="M29" s="18"/>
      <c r="N29" s="18"/>
      <c r="O29" s="18"/>
      <c r="P29" s="18"/>
      <c r="Q29" s="18"/>
      <c r="R29" s="18"/>
      <c r="S29" s="18"/>
      <c r="T29" s="18"/>
      <c r="U29" s="18"/>
      <c r="V29" s="18"/>
      <c r="W29" s="18"/>
      <c r="X29" s="18"/>
      <c r="Y29" s="18"/>
      <c r="Z29" s="18"/>
      <c r="AA29" s="18"/>
      <c r="AB29" s="18"/>
      <c r="AC29" s="19"/>
      <c r="AD29" s="106"/>
      <c r="AE29" s="107"/>
      <c r="AF29" s="107"/>
      <c r="AG29" s="107"/>
      <c r="AH29" s="107"/>
      <c r="AI29" s="107"/>
      <c r="AJ29" s="108"/>
      <c r="AK29" s="116"/>
    </row>
    <row r="30" spans="1:49" s="74" customFormat="1" ht="36" hidden="1" customHeight="1">
      <c r="A30" s="111"/>
      <c r="B30" s="112"/>
      <c r="C30" s="112"/>
      <c r="D30" s="112"/>
      <c r="E30" s="112"/>
      <c r="F30" s="112"/>
      <c r="G30" s="113"/>
      <c r="H30" s="35"/>
      <c r="I30" s="36"/>
      <c r="J30" s="36"/>
      <c r="K30" s="36"/>
      <c r="L30" s="36"/>
      <c r="M30" s="36"/>
      <c r="N30" s="36"/>
      <c r="O30" s="36"/>
      <c r="P30" s="36"/>
      <c r="Q30" s="36"/>
      <c r="R30" s="36"/>
      <c r="S30" s="36"/>
      <c r="T30" s="36"/>
      <c r="U30" s="36"/>
      <c r="V30" s="36"/>
      <c r="W30" s="36"/>
      <c r="X30" s="36"/>
      <c r="Y30" s="36"/>
      <c r="Z30" s="36"/>
      <c r="AA30" s="36"/>
      <c r="AB30" s="36"/>
      <c r="AC30" s="37"/>
      <c r="AD30" s="114"/>
      <c r="AE30" s="109"/>
      <c r="AF30" s="109"/>
      <c r="AG30" s="109"/>
      <c r="AH30" s="109"/>
      <c r="AI30" s="109"/>
      <c r="AJ30" s="115"/>
    </row>
    <row r="31" spans="1:49" ht="36" customHeight="1">
      <c r="A31" s="91" t="s">
        <v>49</v>
      </c>
      <c r="B31" s="92"/>
      <c r="C31" s="92"/>
      <c r="D31" s="92"/>
      <c r="E31" s="92"/>
      <c r="F31" s="92"/>
      <c r="G31" s="93"/>
      <c r="H31" s="17" t="s">
        <v>44</v>
      </c>
      <c r="I31" s="18"/>
      <c r="J31" s="18"/>
      <c r="K31" s="18"/>
      <c r="L31" s="18"/>
      <c r="M31" s="18"/>
      <c r="N31" s="18"/>
      <c r="O31" s="18"/>
      <c r="P31" s="18"/>
      <c r="Q31" s="18"/>
      <c r="R31" s="18"/>
      <c r="S31" s="18"/>
      <c r="T31" s="18"/>
      <c r="U31" s="18"/>
      <c r="V31" s="18"/>
      <c r="W31" s="18"/>
      <c r="X31" s="18"/>
      <c r="Y31" s="18"/>
      <c r="Z31" s="18"/>
      <c r="AA31" s="18"/>
      <c r="AB31" s="18"/>
      <c r="AC31" s="19"/>
      <c r="AD31" s="114"/>
      <c r="AE31" s="109"/>
      <c r="AF31" s="109"/>
      <c r="AG31" s="109"/>
      <c r="AH31" s="109"/>
      <c r="AI31" s="109"/>
      <c r="AJ31" s="115"/>
    </row>
    <row r="32" spans="1:49" ht="36" customHeight="1">
      <c r="A32" s="91" t="s">
        <v>50</v>
      </c>
      <c r="B32" s="92"/>
      <c r="C32" s="92"/>
      <c r="D32" s="92"/>
      <c r="E32" s="92"/>
      <c r="F32" s="92"/>
      <c r="G32" s="93"/>
      <c r="H32" s="17" t="s">
        <v>51</v>
      </c>
      <c r="I32" s="18"/>
      <c r="J32" s="18"/>
      <c r="K32" s="18"/>
      <c r="L32" s="18"/>
      <c r="M32" s="18"/>
      <c r="N32" s="18"/>
      <c r="O32" s="18"/>
      <c r="P32" s="18"/>
      <c r="Q32" s="18"/>
      <c r="R32" s="18"/>
      <c r="S32" s="18"/>
      <c r="T32" s="18"/>
      <c r="U32" s="18"/>
      <c r="V32" s="18"/>
      <c r="W32" s="18"/>
      <c r="X32" s="18"/>
      <c r="Y32" s="18"/>
      <c r="Z32" s="18"/>
      <c r="AA32" s="18"/>
      <c r="AB32" s="18"/>
      <c r="AC32" s="19"/>
      <c r="AD32" s="111"/>
      <c r="AE32" s="112"/>
      <c r="AF32" s="112"/>
      <c r="AG32" s="112"/>
      <c r="AH32" s="112"/>
      <c r="AI32" s="112"/>
      <c r="AJ32" s="113"/>
    </row>
    <row r="33" spans="1:62" ht="36" customHeight="1">
      <c r="A33" s="100" t="s">
        <v>52</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2"/>
    </row>
    <row r="34" spans="1:62" ht="36" customHeight="1">
      <c r="A34" s="91" t="s">
        <v>53</v>
      </c>
      <c r="B34" s="92"/>
      <c r="C34" s="92"/>
      <c r="D34" s="92"/>
      <c r="E34" s="92"/>
      <c r="F34" s="92"/>
      <c r="G34" s="93"/>
      <c r="H34" s="20" t="s">
        <v>54</v>
      </c>
      <c r="I34" s="21"/>
      <c r="J34" s="21"/>
      <c r="K34" s="21"/>
      <c r="L34" s="21"/>
      <c r="M34" s="21"/>
      <c r="N34" s="21"/>
      <c r="O34" s="21"/>
      <c r="P34" s="21"/>
      <c r="Q34" s="21"/>
      <c r="R34" s="21"/>
      <c r="S34" s="21"/>
      <c r="T34" s="21"/>
      <c r="U34" s="21"/>
      <c r="V34" s="21"/>
      <c r="W34" s="21"/>
      <c r="X34" s="21"/>
      <c r="Y34" s="21"/>
      <c r="Z34" s="21"/>
      <c r="AA34" s="21"/>
      <c r="AB34" s="21"/>
      <c r="AC34" s="22"/>
      <c r="AD34" s="106"/>
      <c r="AE34" s="107"/>
      <c r="AF34" s="107"/>
      <c r="AG34" s="107"/>
      <c r="AH34" s="107"/>
      <c r="AI34" s="107"/>
      <c r="AJ34" s="108"/>
    </row>
    <row r="35" spans="1:62" ht="36" hidden="1" customHeight="1">
      <c r="A35" s="106" t="s">
        <v>55</v>
      </c>
      <c r="B35" s="107"/>
      <c r="C35" s="108"/>
      <c r="D35" s="91" t="s">
        <v>56</v>
      </c>
      <c r="E35" s="92"/>
      <c r="F35" s="92"/>
      <c r="G35" s="93"/>
      <c r="H35" s="17" t="s">
        <v>57</v>
      </c>
      <c r="I35" s="18"/>
      <c r="J35" s="18"/>
      <c r="K35" s="18"/>
      <c r="L35" s="18"/>
      <c r="M35" s="18"/>
      <c r="N35" s="18"/>
      <c r="O35" s="18"/>
      <c r="P35" s="18"/>
      <c r="Q35" s="18"/>
      <c r="R35" s="18"/>
      <c r="S35" s="18"/>
      <c r="T35" s="18"/>
      <c r="U35" s="18"/>
      <c r="V35" s="18"/>
      <c r="W35" s="18"/>
      <c r="X35" s="18"/>
      <c r="Y35" s="18"/>
      <c r="Z35" s="18"/>
      <c r="AA35" s="18"/>
      <c r="AB35" s="18"/>
      <c r="AC35" s="19"/>
      <c r="AD35" s="114"/>
      <c r="AE35" s="109"/>
      <c r="AF35" s="109"/>
      <c r="AG35" s="109"/>
      <c r="AH35" s="109"/>
      <c r="AI35" s="109"/>
      <c r="AJ35" s="115"/>
      <c r="AK35" s="117"/>
    </row>
    <row r="36" spans="1:62" ht="48" customHeight="1">
      <c r="A36" s="91" t="s">
        <v>58</v>
      </c>
      <c r="B36" s="92"/>
      <c r="C36" s="93"/>
      <c r="D36" s="91" t="s">
        <v>59</v>
      </c>
      <c r="E36" s="92"/>
      <c r="F36" s="92"/>
      <c r="G36" s="93"/>
      <c r="H36" s="32" t="s">
        <v>60</v>
      </c>
      <c r="I36" s="33"/>
      <c r="J36" s="33"/>
      <c r="K36" s="33"/>
      <c r="L36" s="33"/>
      <c r="M36" s="33"/>
      <c r="N36" s="33"/>
      <c r="O36" s="33"/>
      <c r="P36" s="33"/>
      <c r="Q36" s="33"/>
      <c r="R36" s="33"/>
      <c r="S36" s="33"/>
      <c r="T36" s="33"/>
      <c r="U36" s="33"/>
      <c r="V36" s="33"/>
      <c r="W36" s="33"/>
      <c r="X36" s="33"/>
      <c r="Y36" s="33"/>
      <c r="Z36" s="33"/>
      <c r="AA36" s="33"/>
      <c r="AB36" s="33"/>
      <c r="AC36" s="34"/>
      <c r="AD36" s="114"/>
      <c r="AE36" s="109"/>
      <c r="AF36" s="109"/>
      <c r="AG36" s="109"/>
      <c r="AH36" s="109"/>
      <c r="AI36" s="109"/>
      <c r="AJ36" s="115"/>
    </row>
    <row r="37" spans="1:62" ht="36" customHeight="1">
      <c r="A37" s="67" t="s">
        <v>61</v>
      </c>
      <c r="B37" s="68"/>
      <c r="C37" s="68"/>
      <c r="D37" s="68"/>
      <c r="E37" s="68"/>
      <c r="F37" s="68"/>
      <c r="G37" s="69"/>
      <c r="H37" s="35" t="s">
        <v>62</v>
      </c>
      <c r="I37" s="36"/>
      <c r="J37" s="36"/>
      <c r="K37" s="36"/>
      <c r="L37" s="36"/>
      <c r="M37" s="36"/>
      <c r="N37" s="36"/>
      <c r="O37" s="36"/>
      <c r="P37" s="36"/>
      <c r="Q37" s="36"/>
      <c r="R37" s="36"/>
      <c r="S37" s="36"/>
      <c r="T37" s="36"/>
      <c r="U37" s="36"/>
      <c r="V37" s="36"/>
      <c r="W37" s="36"/>
      <c r="X37" s="36"/>
      <c r="Y37" s="36"/>
      <c r="Z37" s="36"/>
      <c r="AA37" s="36"/>
      <c r="AB37" s="36"/>
      <c r="AC37" s="37"/>
      <c r="AD37" s="114"/>
      <c r="AE37" s="109"/>
      <c r="AF37" s="109"/>
      <c r="AG37" s="109"/>
      <c r="AH37" s="109"/>
      <c r="AI37" s="109"/>
      <c r="AJ37" s="115"/>
    </row>
    <row r="38" spans="1:62" ht="36" hidden="1" customHeight="1">
      <c r="A38" s="110" t="s">
        <v>63</v>
      </c>
      <c r="B38" s="92"/>
      <c r="C38" s="92"/>
      <c r="D38" s="92"/>
      <c r="E38" s="92"/>
      <c r="F38" s="92"/>
      <c r="G38" s="93"/>
      <c r="H38" s="35" t="s">
        <v>44</v>
      </c>
      <c r="I38" s="36"/>
      <c r="J38" s="36"/>
      <c r="K38" s="36"/>
      <c r="L38" s="36"/>
      <c r="M38" s="36"/>
      <c r="N38" s="36"/>
      <c r="O38" s="36"/>
      <c r="P38" s="36"/>
      <c r="Q38" s="36"/>
      <c r="R38" s="36"/>
      <c r="S38" s="36"/>
      <c r="T38" s="36"/>
      <c r="U38" s="36"/>
      <c r="V38" s="36"/>
      <c r="W38" s="36"/>
      <c r="X38" s="36"/>
      <c r="Y38" s="36"/>
      <c r="Z38" s="36"/>
      <c r="AA38" s="36"/>
      <c r="AB38" s="36"/>
      <c r="AC38" s="37"/>
      <c r="AD38" s="111"/>
      <c r="AE38" s="112"/>
      <c r="AF38" s="112"/>
      <c r="AG38" s="112"/>
      <c r="AH38" s="112"/>
      <c r="AI38" s="112"/>
      <c r="AJ38" s="113"/>
      <c r="AK38" s="117"/>
    </row>
    <row r="39" spans="1:62" ht="36" customHeight="1">
      <c r="A39" s="100" t="s">
        <v>64</v>
      </c>
      <c r="B39" s="101"/>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c r="AB39" s="101"/>
      <c r="AC39" s="101"/>
      <c r="AD39" s="101"/>
      <c r="AE39" s="101"/>
      <c r="AF39" s="101"/>
      <c r="AG39" s="101"/>
      <c r="AH39" s="101"/>
      <c r="AI39" s="101"/>
      <c r="AJ39" s="102"/>
    </row>
    <row r="40" spans="1:62" ht="36" customHeight="1">
      <c r="A40" s="91" t="s">
        <v>65</v>
      </c>
      <c r="B40" s="92"/>
      <c r="C40" s="92"/>
      <c r="D40" s="92"/>
      <c r="E40" s="92"/>
      <c r="F40" s="92"/>
      <c r="G40" s="93"/>
      <c r="H40" s="17">
        <v>0</v>
      </c>
      <c r="I40" s="18"/>
      <c r="J40" s="18"/>
      <c r="K40" s="18"/>
      <c r="L40" s="18"/>
      <c r="M40" s="18"/>
      <c r="N40" s="18"/>
      <c r="O40" s="18"/>
      <c r="P40" s="18"/>
      <c r="Q40" s="18"/>
      <c r="R40" s="18"/>
      <c r="S40" s="18"/>
      <c r="T40" s="18"/>
      <c r="U40" s="18"/>
      <c r="V40" s="18"/>
      <c r="W40" s="18"/>
      <c r="X40" s="18"/>
      <c r="Y40" s="18"/>
      <c r="Z40" s="18"/>
      <c r="AA40" s="18"/>
      <c r="AB40" s="18"/>
      <c r="AC40" s="19"/>
      <c r="AD40" s="106"/>
      <c r="AE40" s="107"/>
      <c r="AF40" s="107"/>
      <c r="AG40" s="107"/>
      <c r="AH40" s="107"/>
      <c r="AI40" s="107"/>
      <c r="AJ40" s="108"/>
      <c r="AW40" s="118"/>
      <c r="AX40" s="118"/>
      <c r="AY40" s="118"/>
      <c r="AZ40" s="118"/>
      <c r="BA40" s="118"/>
      <c r="BB40" s="118"/>
      <c r="BC40" s="118"/>
      <c r="BD40" s="118"/>
      <c r="BE40" s="118"/>
      <c r="BF40" s="118"/>
      <c r="BG40" s="118"/>
      <c r="BH40" s="118"/>
      <c r="BI40" s="118"/>
      <c r="BJ40" s="118"/>
    </row>
    <row r="41" spans="1:62" ht="36" customHeight="1">
      <c r="A41" s="91" t="s">
        <v>66</v>
      </c>
      <c r="B41" s="92"/>
      <c r="C41" s="92"/>
      <c r="D41" s="92"/>
      <c r="E41" s="92"/>
      <c r="F41" s="92"/>
      <c r="G41" s="93"/>
      <c r="H41" s="17"/>
      <c r="I41" s="18"/>
      <c r="J41" s="18"/>
      <c r="K41" s="18"/>
      <c r="L41" s="18"/>
      <c r="M41" s="18"/>
      <c r="N41" s="18"/>
      <c r="O41" s="18"/>
      <c r="P41" s="18"/>
      <c r="Q41" s="18"/>
      <c r="R41" s="18"/>
      <c r="S41" s="18"/>
      <c r="T41" s="18"/>
      <c r="U41" s="18"/>
      <c r="V41" s="18"/>
      <c r="W41" s="18"/>
      <c r="X41" s="18"/>
      <c r="Y41" s="18"/>
      <c r="Z41" s="18"/>
      <c r="AA41" s="18"/>
      <c r="AB41" s="18"/>
      <c r="AC41" s="19"/>
      <c r="AD41" s="114"/>
      <c r="AE41" s="109"/>
      <c r="AF41" s="109"/>
      <c r="AG41" s="109"/>
      <c r="AH41" s="109"/>
      <c r="AI41" s="109"/>
      <c r="AJ41" s="115"/>
      <c r="AW41" s="119"/>
      <c r="AX41" s="119"/>
      <c r="AY41" s="119"/>
      <c r="AZ41" s="119"/>
      <c r="BA41" s="119"/>
      <c r="BB41" s="119"/>
      <c r="BC41" s="119"/>
      <c r="BD41" s="119"/>
      <c r="BE41" s="119"/>
      <c r="BF41" s="119"/>
      <c r="BG41" s="119"/>
      <c r="BH41" s="119"/>
      <c r="BI41" s="119"/>
      <c r="BJ41" s="119"/>
    </row>
    <row r="42" spans="1:62" ht="36" customHeight="1">
      <c r="A42" s="91" t="s">
        <v>67</v>
      </c>
      <c r="B42" s="92"/>
      <c r="C42" s="92"/>
      <c r="D42" s="92"/>
      <c r="E42" s="92"/>
      <c r="F42" s="92"/>
      <c r="G42" s="93"/>
      <c r="H42" s="17"/>
      <c r="I42" s="18"/>
      <c r="J42" s="18"/>
      <c r="K42" s="18"/>
      <c r="L42" s="18"/>
      <c r="M42" s="18"/>
      <c r="N42" s="18"/>
      <c r="O42" s="18"/>
      <c r="P42" s="18"/>
      <c r="Q42" s="18"/>
      <c r="R42" s="18"/>
      <c r="S42" s="18"/>
      <c r="T42" s="18"/>
      <c r="U42" s="18"/>
      <c r="V42" s="18"/>
      <c r="W42" s="18"/>
      <c r="X42" s="18"/>
      <c r="Y42" s="18"/>
      <c r="Z42" s="18"/>
      <c r="AA42" s="18"/>
      <c r="AB42" s="18"/>
      <c r="AC42" s="19"/>
      <c r="AD42" s="114"/>
      <c r="AE42" s="109"/>
      <c r="AF42" s="109"/>
      <c r="AG42" s="109"/>
      <c r="AH42" s="109"/>
      <c r="AI42" s="109"/>
      <c r="AJ42" s="115"/>
    </row>
    <row r="43" spans="1:62" ht="36" customHeight="1">
      <c r="A43" s="91" t="s">
        <v>68</v>
      </c>
      <c r="B43" s="92"/>
      <c r="C43" s="92"/>
      <c r="D43" s="92"/>
      <c r="E43" s="92"/>
      <c r="F43" s="92"/>
      <c r="G43" s="93"/>
      <c r="H43" s="17" t="s">
        <v>69</v>
      </c>
      <c r="I43" s="18"/>
      <c r="J43" s="18"/>
      <c r="K43" s="18"/>
      <c r="L43" s="18"/>
      <c r="M43" s="18"/>
      <c r="N43" s="18"/>
      <c r="O43" s="18"/>
      <c r="P43" s="18"/>
      <c r="Q43" s="18"/>
      <c r="R43" s="18"/>
      <c r="S43" s="18"/>
      <c r="T43" s="18"/>
      <c r="U43" s="18"/>
      <c r="V43" s="18"/>
      <c r="W43" s="18"/>
      <c r="X43" s="18"/>
      <c r="Y43" s="18"/>
      <c r="Z43" s="18"/>
      <c r="AA43" s="18"/>
      <c r="AB43" s="18"/>
      <c r="AC43" s="19"/>
      <c r="AD43" s="114"/>
      <c r="AE43" s="109"/>
      <c r="AF43" s="109"/>
      <c r="AG43" s="109"/>
      <c r="AH43" s="109"/>
      <c r="AI43" s="109"/>
      <c r="AJ43" s="115"/>
      <c r="AW43" s="119"/>
      <c r="AX43" s="119"/>
      <c r="AY43" s="119"/>
      <c r="AZ43" s="119"/>
      <c r="BA43" s="119"/>
      <c r="BB43" s="119"/>
      <c r="BC43" s="119"/>
      <c r="BD43" s="119"/>
      <c r="BE43" s="119"/>
      <c r="BF43" s="119"/>
      <c r="BG43" s="119"/>
      <c r="BH43" s="119"/>
      <c r="BI43" s="119"/>
      <c r="BJ43" s="119"/>
    </row>
    <row r="44" spans="1:62" ht="36" hidden="1" customHeight="1">
      <c r="A44" s="106" t="s">
        <v>70</v>
      </c>
      <c r="B44" s="108"/>
      <c r="C44" s="67" t="s">
        <v>71</v>
      </c>
      <c r="D44" s="68"/>
      <c r="E44" s="68"/>
      <c r="F44" s="68"/>
      <c r="G44" s="69"/>
      <c r="H44" s="17"/>
      <c r="I44" s="18"/>
      <c r="J44" s="18"/>
      <c r="K44" s="18"/>
      <c r="L44" s="18"/>
      <c r="M44" s="18"/>
      <c r="N44" s="18"/>
      <c r="O44" s="18"/>
      <c r="P44" s="18"/>
      <c r="Q44" s="18"/>
      <c r="R44" s="18"/>
      <c r="S44" s="19"/>
      <c r="T44" s="120" t="s">
        <v>72</v>
      </c>
      <c r="U44" s="121"/>
      <c r="V44" s="52"/>
      <c r="W44" s="53"/>
      <c r="X44" s="53"/>
      <c r="Y44" s="53"/>
      <c r="Z44" s="53"/>
      <c r="AA44" s="53"/>
      <c r="AB44" s="53"/>
      <c r="AC44" s="54"/>
      <c r="AD44" s="114"/>
      <c r="AE44" s="109"/>
      <c r="AF44" s="109"/>
      <c r="AG44" s="109"/>
      <c r="AH44" s="109"/>
      <c r="AI44" s="109"/>
      <c r="AJ44" s="115"/>
    </row>
    <row r="45" spans="1:62" ht="36" hidden="1" customHeight="1">
      <c r="A45" s="111"/>
      <c r="B45" s="113"/>
      <c r="C45" s="91" t="s">
        <v>73</v>
      </c>
      <c r="D45" s="92"/>
      <c r="E45" s="92"/>
      <c r="F45" s="92"/>
      <c r="G45" s="93"/>
      <c r="H45" s="17"/>
      <c r="I45" s="18"/>
      <c r="J45" s="18"/>
      <c r="K45" s="18"/>
      <c r="L45" s="18"/>
      <c r="M45" s="18"/>
      <c r="N45" s="18"/>
      <c r="O45" s="18"/>
      <c r="P45" s="18"/>
      <c r="Q45" s="18"/>
      <c r="R45" s="18"/>
      <c r="S45" s="19"/>
      <c r="T45" s="122"/>
      <c r="U45" s="123"/>
      <c r="V45" s="55"/>
      <c r="W45" s="56"/>
      <c r="X45" s="56"/>
      <c r="Y45" s="56"/>
      <c r="Z45" s="56"/>
      <c r="AA45" s="56"/>
      <c r="AB45" s="56"/>
      <c r="AC45" s="57"/>
      <c r="AD45" s="114"/>
      <c r="AE45" s="109"/>
      <c r="AF45" s="109"/>
      <c r="AG45" s="109"/>
      <c r="AH45" s="109"/>
      <c r="AI45" s="109"/>
      <c r="AJ45" s="115"/>
    </row>
    <row r="46" spans="1:62" ht="36" hidden="1" customHeight="1">
      <c r="A46" s="106" t="s">
        <v>74</v>
      </c>
      <c r="B46" s="108"/>
      <c r="C46" s="67" t="s">
        <v>71</v>
      </c>
      <c r="D46" s="68"/>
      <c r="E46" s="68"/>
      <c r="F46" s="68"/>
      <c r="G46" s="69"/>
      <c r="H46" s="17"/>
      <c r="I46" s="18"/>
      <c r="J46" s="18"/>
      <c r="K46" s="18"/>
      <c r="L46" s="18"/>
      <c r="M46" s="18"/>
      <c r="N46" s="18"/>
      <c r="O46" s="18"/>
      <c r="P46" s="18"/>
      <c r="Q46" s="18"/>
      <c r="R46" s="18"/>
      <c r="S46" s="19"/>
      <c r="T46" s="120" t="s">
        <v>72</v>
      </c>
      <c r="U46" s="121"/>
      <c r="V46" s="52"/>
      <c r="W46" s="53"/>
      <c r="X46" s="53"/>
      <c r="Y46" s="53"/>
      <c r="Z46" s="53"/>
      <c r="AA46" s="53"/>
      <c r="AB46" s="53"/>
      <c r="AC46" s="54"/>
      <c r="AD46" s="114"/>
      <c r="AE46" s="109"/>
      <c r="AF46" s="109"/>
      <c r="AG46" s="109"/>
      <c r="AH46" s="109"/>
      <c r="AI46" s="109"/>
      <c r="AJ46" s="115"/>
    </row>
    <row r="47" spans="1:62" ht="36" hidden="1" customHeight="1">
      <c r="A47" s="111"/>
      <c r="B47" s="113"/>
      <c r="C47" s="91" t="s">
        <v>73</v>
      </c>
      <c r="D47" s="92"/>
      <c r="E47" s="92"/>
      <c r="F47" s="92"/>
      <c r="G47" s="93"/>
      <c r="H47" s="17"/>
      <c r="I47" s="18"/>
      <c r="J47" s="18"/>
      <c r="K47" s="18"/>
      <c r="L47" s="18"/>
      <c r="M47" s="18"/>
      <c r="N47" s="18"/>
      <c r="O47" s="18"/>
      <c r="P47" s="18"/>
      <c r="Q47" s="18"/>
      <c r="R47" s="18"/>
      <c r="S47" s="19"/>
      <c r="T47" s="122"/>
      <c r="U47" s="123"/>
      <c r="V47" s="55"/>
      <c r="W47" s="56"/>
      <c r="X47" s="56"/>
      <c r="Y47" s="56"/>
      <c r="Z47" s="56"/>
      <c r="AA47" s="56"/>
      <c r="AB47" s="56"/>
      <c r="AC47" s="57"/>
      <c r="AD47" s="111"/>
      <c r="AE47" s="112"/>
      <c r="AF47" s="112"/>
      <c r="AG47" s="112"/>
      <c r="AH47" s="112"/>
      <c r="AI47" s="112"/>
      <c r="AJ47" s="113"/>
    </row>
    <row r="48" spans="1:62" ht="36" customHeight="1">
      <c r="A48" s="100" t="s">
        <v>75</v>
      </c>
      <c r="B48" s="101"/>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2"/>
    </row>
    <row r="49" spans="1:36" ht="36" customHeight="1">
      <c r="A49" s="106" t="s">
        <v>76</v>
      </c>
      <c r="B49" s="107"/>
      <c r="C49" s="107"/>
      <c r="D49" s="107"/>
      <c r="E49" s="107"/>
      <c r="F49" s="107"/>
      <c r="G49" s="108"/>
      <c r="H49" s="17" t="s">
        <v>77</v>
      </c>
      <c r="I49" s="18"/>
      <c r="J49" s="18"/>
      <c r="K49" s="18"/>
      <c r="L49" s="18"/>
      <c r="M49" s="18"/>
      <c r="N49" s="18"/>
      <c r="O49" s="18"/>
      <c r="P49" s="18"/>
      <c r="Q49" s="18"/>
      <c r="R49" s="18"/>
      <c r="S49" s="18"/>
      <c r="T49" s="18"/>
      <c r="U49" s="18"/>
      <c r="V49" s="18"/>
      <c r="W49" s="18"/>
      <c r="X49" s="18"/>
      <c r="Y49" s="18"/>
      <c r="Z49" s="18"/>
      <c r="AA49" s="18"/>
      <c r="AB49" s="18"/>
      <c r="AC49" s="19"/>
      <c r="AD49" s="106"/>
      <c r="AE49" s="107"/>
      <c r="AF49" s="107"/>
      <c r="AG49" s="107"/>
      <c r="AH49" s="107"/>
      <c r="AI49" s="107"/>
      <c r="AJ49" s="108"/>
    </row>
    <row r="50" spans="1:36" ht="87" hidden="1" customHeight="1">
      <c r="A50" s="114"/>
      <c r="B50" s="109"/>
      <c r="C50" s="109"/>
      <c r="D50" s="109"/>
      <c r="E50" s="109"/>
      <c r="F50" s="109"/>
      <c r="G50" s="115"/>
      <c r="H50" s="91" t="s">
        <v>78</v>
      </c>
      <c r="I50" s="68"/>
      <c r="J50" s="68"/>
      <c r="K50" s="68"/>
      <c r="L50" s="68"/>
      <c r="M50" s="68"/>
      <c r="N50" s="68"/>
      <c r="O50" s="68"/>
      <c r="P50" s="68"/>
      <c r="Q50" s="68"/>
      <c r="R50" s="68"/>
      <c r="S50" s="68"/>
      <c r="T50" s="68"/>
      <c r="U50" s="68"/>
      <c r="V50" s="68"/>
      <c r="W50" s="68"/>
      <c r="X50" s="68"/>
      <c r="Y50" s="68"/>
      <c r="Z50" s="68"/>
      <c r="AA50" s="68"/>
      <c r="AB50" s="68"/>
      <c r="AC50" s="69"/>
      <c r="AD50" s="114"/>
      <c r="AE50" s="109"/>
      <c r="AF50" s="109"/>
      <c r="AG50" s="109"/>
      <c r="AH50" s="109"/>
      <c r="AI50" s="109"/>
      <c r="AJ50" s="115"/>
    </row>
    <row r="51" spans="1:36" ht="151" hidden="1" customHeight="1">
      <c r="A51" s="114"/>
      <c r="B51" s="109"/>
      <c r="C51" s="109"/>
      <c r="D51" s="109"/>
      <c r="E51" s="109"/>
      <c r="F51" s="109"/>
      <c r="G51" s="115"/>
      <c r="H51" s="124" t="s">
        <v>79</v>
      </c>
      <c r="I51" s="125"/>
      <c r="J51" s="125"/>
      <c r="K51" s="125"/>
      <c r="L51" s="125"/>
      <c r="M51" s="125"/>
      <c r="N51" s="125"/>
      <c r="O51" s="125"/>
      <c r="P51" s="125"/>
      <c r="Q51" s="125"/>
      <c r="R51" s="125"/>
      <c r="S51" s="125"/>
      <c r="T51" s="125"/>
      <c r="U51" s="125"/>
      <c r="V51" s="125"/>
      <c r="W51" s="125"/>
      <c r="X51" s="125"/>
      <c r="Y51" s="125"/>
      <c r="Z51" s="125"/>
      <c r="AA51" s="125"/>
      <c r="AB51" s="125"/>
      <c r="AC51" s="126"/>
      <c r="AD51" s="114"/>
      <c r="AE51" s="109"/>
      <c r="AF51" s="109"/>
      <c r="AG51" s="109"/>
      <c r="AH51" s="109"/>
      <c r="AI51" s="109"/>
      <c r="AJ51" s="115"/>
    </row>
    <row r="52" spans="1:36" ht="185" hidden="1" customHeight="1">
      <c r="A52" s="111"/>
      <c r="B52" s="112"/>
      <c r="C52" s="112"/>
      <c r="D52" s="112"/>
      <c r="E52" s="112"/>
      <c r="F52" s="112"/>
      <c r="G52" s="113"/>
      <c r="H52" s="124" t="s">
        <v>80</v>
      </c>
      <c r="I52" s="125"/>
      <c r="J52" s="125"/>
      <c r="K52" s="125"/>
      <c r="L52" s="125"/>
      <c r="M52" s="125"/>
      <c r="N52" s="125"/>
      <c r="O52" s="125"/>
      <c r="P52" s="125"/>
      <c r="Q52" s="125"/>
      <c r="R52" s="125"/>
      <c r="S52" s="125"/>
      <c r="T52" s="125"/>
      <c r="U52" s="125"/>
      <c r="V52" s="125"/>
      <c r="W52" s="125"/>
      <c r="X52" s="125"/>
      <c r="Y52" s="125"/>
      <c r="Z52" s="125"/>
      <c r="AA52" s="125"/>
      <c r="AB52" s="125"/>
      <c r="AC52" s="126"/>
      <c r="AD52" s="114"/>
      <c r="AE52" s="109"/>
      <c r="AF52" s="109"/>
      <c r="AG52" s="109"/>
      <c r="AH52" s="109"/>
      <c r="AI52" s="109"/>
      <c r="AJ52" s="115"/>
    </row>
    <row r="53" spans="1:36" ht="36" hidden="1" customHeight="1">
      <c r="A53" s="127" t="s">
        <v>81</v>
      </c>
      <c r="B53" s="128"/>
      <c r="C53" s="128"/>
      <c r="D53" s="128"/>
      <c r="E53" s="128"/>
      <c r="F53" s="128"/>
      <c r="G53" s="129"/>
      <c r="H53" s="38"/>
      <c r="I53" s="39"/>
      <c r="J53" s="39"/>
      <c r="K53" s="39"/>
      <c r="L53" s="39"/>
      <c r="M53" s="39"/>
      <c r="N53" s="39"/>
      <c r="O53" s="39"/>
      <c r="P53" s="39"/>
      <c r="Q53" s="39"/>
      <c r="R53" s="39"/>
      <c r="S53" s="39"/>
      <c r="T53" s="39"/>
      <c r="U53" s="40"/>
      <c r="V53" s="133" t="s">
        <v>82</v>
      </c>
      <c r="W53" s="134"/>
      <c r="X53" s="134"/>
      <c r="Y53" s="135"/>
      <c r="Z53" s="130">
        <f>CEILING(H53/10,1)*10</f>
        <v>0</v>
      </c>
      <c r="AA53" s="131"/>
      <c r="AB53" s="131"/>
      <c r="AC53" s="132"/>
      <c r="AD53" s="111"/>
      <c r="AE53" s="112"/>
      <c r="AF53" s="112"/>
      <c r="AG53" s="112"/>
      <c r="AH53" s="112"/>
      <c r="AI53" s="112"/>
      <c r="AJ53" s="113"/>
    </row>
    <row r="54" spans="1:36" ht="36" customHeight="1">
      <c r="A54" s="100" t="s">
        <v>83</v>
      </c>
      <c r="B54" s="101"/>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2"/>
    </row>
    <row r="55" spans="1:36" ht="36" customHeight="1">
      <c r="A55" s="67" t="s">
        <v>84</v>
      </c>
      <c r="B55" s="68"/>
      <c r="C55" s="68"/>
      <c r="D55" s="68"/>
      <c r="E55" s="68"/>
      <c r="F55" s="68"/>
      <c r="G55" s="69"/>
      <c r="H55" s="17" t="s">
        <v>85</v>
      </c>
      <c r="I55" s="18"/>
      <c r="J55" s="18"/>
      <c r="K55" s="18"/>
      <c r="L55" s="18"/>
      <c r="M55" s="18"/>
      <c r="N55" s="18"/>
      <c r="O55" s="18"/>
      <c r="P55" s="18"/>
      <c r="Q55" s="18"/>
      <c r="R55" s="18"/>
      <c r="S55" s="18"/>
      <c r="T55" s="18"/>
      <c r="U55" s="18"/>
      <c r="V55" s="18"/>
      <c r="W55" s="18"/>
      <c r="X55" s="18"/>
      <c r="Y55" s="18"/>
      <c r="Z55" s="18"/>
      <c r="AA55" s="18"/>
      <c r="AB55" s="18"/>
      <c r="AC55" s="19"/>
      <c r="AD55" s="120"/>
      <c r="AE55" s="136"/>
      <c r="AF55" s="136"/>
      <c r="AG55" s="136"/>
      <c r="AH55" s="136"/>
      <c r="AI55" s="136"/>
      <c r="AJ55" s="121"/>
    </row>
    <row r="56" spans="1:36" ht="97.5" customHeight="1">
      <c r="A56" s="67" t="s">
        <v>86</v>
      </c>
      <c r="B56" s="68"/>
      <c r="C56" s="68"/>
      <c r="D56" s="68"/>
      <c r="E56" s="68"/>
      <c r="F56" s="68"/>
      <c r="G56" s="69"/>
      <c r="H56" s="35" t="s">
        <v>87</v>
      </c>
      <c r="I56" s="36"/>
      <c r="J56" s="36"/>
      <c r="K56" s="36"/>
      <c r="L56" s="36"/>
      <c r="M56" s="36"/>
      <c r="N56" s="36"/>
      <c r="O56" s="37"/>
      <c r="P56" s="67"/>
      <c r="Q56" s="68"/>
      <c r="R56" s="68"/>
      <c r="S56" s="68"/>
      <c r="T56" s="68"/>
      <c r="U56" s="68"/>
      <c r="V56" s="68"/>
      <c r="W56" s="68"/>
      <c r="X56" s="68"/>
      <c r="Y56" s="68"/>
      <c r="Z56" s="68"/>
      <c r="AA56" s="68"/>
      <c r="AB56" s="68"/>
      <c r="AC56" s="69"/>
      <c r="AD56" s="137"/>
      <c r="AE56" s="138"/>
      <c r="AF56" s="138"/>
      <c r="AG56" s="138"/>
      <c r="AH56" s="138"/>
      <c r="AI56" s="138"/>
      <c r="AJ56" s="139"/>
    </row>
    <row r="57" spans="1:36" ht="20" customHeight="1">
      <c r="A57" s="67" t="s">
        <v>88</v>
      </c>
      <c r="B57" s="68"/>
      <c r="C57" s="68"/>
      <c r="D57" s="68"/>
      <c r="E57" s="68"/>
      <c r="F57" s="68"/>
      <c r="G57" s="69"/>
      <c r="H57" s="17" t="s">
        <v>44</v>
      </c>
      <c r="I57" s="18"/>
      <c r="J57" s="18"/>
      <c r="K57" s="18"/>
      <c r="L57" s="18"/>
      <c r="M57" s="18"/>
      <c r="N57" s="18"/>
      <c r="O57" s="18"/>
      <c r="P57" s="18"/>
      <c r="Q57" s="18"/>
      <c r="R57" s="18"/>
      <c r="S57" s="18"/>
      <c r="T57" s="18"/>
      <c r="U57" s="18"/>
      <c r="V57" s="18"/>
      <c r="W57" s="18"/>
      <c r="X57" s="18"/>
      <c r="Y57" s="18"/>
      <c r="Z57" s="18"/>
      <c r="AA57" s="18"/>
      <c r="AB57" s="18"/>
      <c r="AC57" s="19"/>
      <c r="AD57" s="137"/>
      <c r="AE57" s="138"/>
      <c r="AF57" s="138"/>
      <c r="AG57" s="138"/>
      <c r="AH57" s="138"/>
      <c r="AI57" s="138"/>
      <c r="AJ57" s="139"/>
    </row>
    <row r="58" spans="1:36" ht="36" hidden="1" customHeight="1">
      <c r="A58" s="67" t="s">
        <v>89</v>
      </c>
      <c r="B58" s="68"/>
      <c r="C58" s="68"/>
      <c r="D58" s="68"/>
      <c r="E58" s="68"/>
      <c r="F58" s="68"/>
      <c r="G58" s="69"/>
      <c r="H58" s="17" t="s">
        <v>90</v>
      </c>
      <c r="I58" s="18"/>
      <c r="J58" s="18"/>
      <c r="K58" s="18"/>
      <c r="L58" s="18"/>
      <c r="M58" s="18"/>
      <c r="N58" s="18"/>
      <c r="O58" s="18"/>
      <c r="P58" s="18"/>
      <c r="Q58" s="18"/>
      <c r="R58" s="18"/>
      <c r="S58" s="18"/>
      <c r="T58" s="18"/>
      <c r="U58" s="18"/>
      <c r="V58" s="18"/>
      <c r="W58" s="18"/>
      <c r="X58" s="18"/>
      <c r="Y58" s="18"/>
      <c r="Z58" s="18"/>
      <c r="AA58" s="18"/>
      <c r="AB58" s="18"/>
      <c r="AC58" s="19"/>
      <c r="AD58" s="137"/>
      <c r="AE58" s="138"/>
      <c r="AF58" s="138"/>
      <c r="AG58" s="138"/>
      <c r="AH58" s="138"/>
      <c r="AI58" s="138"/>
      <c r="AJ58" s="139"/>
    </row>
    <row r="59" spans="1:36" ht="20" customHeight="1">
      <c r="A59" s="67" t="s">
        <v>91</v>
      </c>
      <c r="B59" s="68"/>
      <c r="C59" s="68"/>
      <c r="D59" s="68"/>
      <c r="E59" s="68"/>
      <c r="F59" s="68"/>
      <c r="G59" s="69"/>
      <c r="H59" s="17" t="s">
        <v>44</v>
      </c>
      <c r="I59" s="18"/>
      <c r="J59" s="18"/>
      <c r="K59" s="18"/>
      <c r="L59" s="18"/>
      <c r="M59" s="18"/>
      <c r="N59" s="18"/>
      <c r="O59" s="18"/>
      <c r="P59" s="18"/>
      <c r="Q59" s="18"/>
      <c r="R59" s="18"/>
      <c r="S59" s="18"/>
      <c r="T59" s="18"/>
      <c r="U59" s="18"/>
      <c r="V59" s="18"/>
      <c r="W59" s="18"/>
      <c r="X59" s="18"/>
      <c r="Y59" s="18"/>
      <c r="Z59" s="18"/>
      <c r="AA59" s="18"/>
      <c r="AB59" s="18"/>
      <c r="AC59" s="19"/>
      <c r="AD59" s="137"/>
      <c r="AE59" s="138"/>
      <c r="AF59" s="138"/>
      <c r="AG59" s="138"/>
      <c r="AH59" s="138"/>
      <c r="AI59" s="138"/>
      <c r="AJ59" s="139"/>
    </row>
    <row r="60" spans="1:36" ht="36" hidden="1" customHeight="1">
      <c r="A60" s="140" t="s">
        <v>92</v>
      </c>
      <c r="B60" s="68"/>
      <c r="C60" s="68"/>
      <c r="D60" s="68"/>
      <c r="E60" s="68"/>
      <c r="F60" s="68"/>
      <c r="G60" s="69"/>
      <c r="H60" s="17" t="s">
        <v>39</v>
      </c>
      <c r="I60" s="18"/>
      <c r="J60" s="18"/>
      <c r="K60" s="18"/>
      <c r="L60" s="18"/>
      <c r="M60" s="18"/>
      <c r="N60" s="18"/>
      <c r="O60" s="18"/>
      <c r="P60" s="18"/>
      <c r="Q60" s="18"/>
      <c r="R60" s="18"/>
      <c r="S60" s="18"/>
      <c r="T60" s="18"/>
      <c r="U60" s="18"/>
      <c r="V60" s="18"/>
      <c r="W60" s="18"/>
      <c r="X60" s="18"/>
      <c r="Y60" s="18"/>
      <c r="Z60" s="18"/>
      <c r="AA60" s="18"/>
      <c r="AB60" s="18"/>
      <c r="AC60" s="19"/>
      <c r="AD60" s="137"/>
      <c r="AE60" s="138"/>
      <c r="AF60" s="138"/>
      <c r="AG60" s="138"/>
      <c r="AH60" s="138"/>
      <c r="AI60" s="138"/>
      <c r="AJ60" s="139"/>
    </row>
    <row r="61" spans="1:36" ht="20" customHeight="1">
      <c r="A61" s="67" t="s">
        <v>93</v>
      </c>
      <c r="B61" s="68"/>
      <c r="C61" s="68"/>
      <c r="D61" s="68"/>
      <c r="E61" s="68"/>
      <c r="F61" s="68"/>
      <c r="G61" s="69"/>
      <c r="H61" s="17" t="s">
        <v>94</v>
      </c>
      <c r="I61" s="18"/>
      <c r="J61" s="18"/>
      <c r="K61" s="18"/>
      <c r="L61" s="18"/>
      <c r="M61" s="18"/>
      <c r="N61" s="18"/>
      <c r="O61" s="18"/>
      <c r="P61" s="18"/>
      <c r="Q61" s="18"/>
      <c r="R61" s="18"/>
      <c r="S61" s="18"/>
      <c r="T61" s="18"/>
      <c r="U61" s="18"/>
      <c r="V61" s="18"/>
      <c r="W61" s="18"/>
      <c r="X61" s="18"/>
      <c r="Y61" s="18"/>
      <c r="Z61" s="18"/>
      <c r="AA61" s="18"/>
      <c r="AB61" s="18"/>
      <c r="AC61" s="19"/>
      <c r="AD61" s="137"/>
      <c r="AE61" s="138"/>
      <c r="AF61" s="138"/>
      <c r="AG61" s="138"/>
      <c r="AH61" s="138"/>
      <c r="AI61" s="138"/>
      <c r="AJ61" s="139"/>
    </row>
    <row r="62" spans="1:36" ht="20" customHeight="1">
      <c r="A62" s="67" t="s">
        <v>95</v>
      </c>
      <c r="B62" s="68"/>
      <c r="C62" s="68"/>
      <c r="D62" s="68"/>
      <c r="E62" s="68"/>
      <c r="F62" s="68"/>
      <c r="G62" s="69"/>
      <c r="H62" s="17" t="s">
        <v>96</v>
      </c>
      <c r="I62" s="18"/>
      <c r="J62" s="18"/>
      <c r="K62" s="18"/>
      <c r="L62" s="18"/>
      <c r="M62" s="18"/>
      <c r="N62" s="18"/>
      <c r="O62" s="18"/>
      <c r="P62" s="18"/>
      <c r="Q62" s="18"/>
      <c r="R62" s="18"/>
      <c r="S62" s="18"/>
      <c r="T62" s="18"/>
      <c r="U62" s="18"/>
      <c r="V62" s="18"/>
      <c r="W62" s="18"/>
      <c r="X62" s="18"/>
      <c r="Y62" s="18"/>
      <c r="Z62" s="18"/>
      <c r="AA62" s="18"/>
      <c r="AB62" s="18"/>
      <c r="AC62" s="19"/>
      <c r="AD62" s="137"/>
      <c r="AE62" s="138"/>
      <c r="AF62" s="138"/>
      <c r="AG62" s="138"/>
      <c r="AH62" s="138"/>
      <c r="AI62" s="138"/>
      <c r="AJ62" s="139"/>
    </row>
    <row r="63" spans="1:36" ht="20" customHeight="1">
      <c r="A63" s="106" t="s">
        <v>97</v>
      </c>
      <c r="B63" s="107"/>
      <c r="C63" s="107"/>
      <c r="D63" s="107"/>
      <c r="E63" s="107"/>
      <c r="F63" s="107"/>
      <c r="G63" s="108"/>
      <c r="H63" s="17" t="s">
        <v>98</v>
      </c>
      <c r="I63" s="18"/>
      <c r="J63" s="18"/>
      <c r="K63" s="18"/>
      <c r="L63" s="18"/>
      <c r="M63" s="18"/>
      <c r="N63" s="18"/>
      <c r="O63" s="18"/>
      <c r="P63" s="18"/>
      <c r="Q63" s="18"/>
      <c r="R63" s="18"/>
      <c r="S63" s="18"/>
      <c r="T63" s="18"/>
      <c r="U63" s="18"/>
      <c r="V63" s="18"/>
      <c r="W63" s="18"/>
      <c r="X63" s="18"/>
      <c r="Y63" s="18"/>
      <c r="Z63" s="18"/>
      <c r="AA63" s="18"/>
      <c r="AB63" s="18"/>
      <c r="AC63" s="19"/>
      <c r="AD63" s="137"/>
      <c r="AE63" s="138"/>
      <c r="AF63" s="138"/>
      <c r="AG63" s="138"/>
      <c r="AH63" s="138"/>
      <c r="AI63" s="138"/>
      <c r="AJ63" s="139"/>
    </row>
    <row r="64" spans="1:36" ht="20" customHeight="1">
      <c r="A64" s="111"/>
      <c r="B64" s="112"/>
      <c r="C64" s="112"/>
      <c r="D64" s="112"/>
      <c r="E64" s="112"/>
      <c r="F64" s="112"/>
      <c r="G64" s="113"/>
      <c r="H64" s="41">
        <v>1</v>
      </c>
      <c r="I64" s="42"/>
      <c r="J64" s="42"/>
      <c r="K64" s="42"/>
      <c r="L64" s="42"/>
      <c r="M64" s="42"/>
      <c r="N64" s="42"/>
      <c r="O64" s="42"/>
      <c r="P64" s="42"/>
      <c r="Q64" s="42"/>
      <c r="R64" s="42"/>
      <c r="S64" s="42"/>
      <c r="T64" s="42"/>
      <c r="U64" s="42"/>
      <c r="V64" s="42"/>
      <c r="W64" s="42"/>
      <c r="X64" s="42"/>
      <c r="Y64" s="42"/>
      <c r="Z64" s="42"/>
      <c r="AA64" s="42"/>
      <c r="AB64" s="89" t="s">
        <v>99</v>
      </c>
      <c r="AC64" s="90"/>
      <c r="AD64" s="137"/>
      <c r="AE64" s="138"/>
      <c r="AF64" s="138"/>
      <c r="AG64" s="138"/>
      <c r="AH64" s="138"/>
      <c r="AI64" s="138"/>
      <c r="AJ64" s="139"/>
    </row>
    <row r="65" spans="1:37" ht="20" customHeight="1">
      <c r="A65" s="141" t="s">
        <v>100</v>
      </c>
      <c r="B65" s="142"/>
      <c r="C65" s="141"/>
      <c r="D65" s="143"/>
      <c r="E65" s="143"/>
      <c r="F65" s="143"/>
      <c r="G65" s="142"/>
      <c r="H65" s="17" t="s">
        <v>98</v>
      </c>
      <c r="I65" s="18"/>
      <c r="J65" s="18"/>
      <c r="K65" s="18"/>
      <c r="L65" s="18"/>
      <c r="M65" s="18"/>
      <c r="N65" s="18"/>
      <c r="O65" s="18"/>
      <c r="P65" s="18"/>
      <c r="Q65" s="18"/>
      <c r="R65" s="18"/>
      <c r="S65" s="18"/>
      <c r="T65" s="18"/>
      <c r="U65" s="18"/>
      <c r="V65" s="18"/>
      <c r="W65" s="18"/>
      <c r="X65" s="18"/>
      <c r="Y65" s="18"/>
      <c r="Z65" s="18"/>
      <c r="AA65" s="18"/>
      <c r="AB65" s="18"/>
      <c r="AC65" s="19"/>
      <c r="AD65" s="137"/>
      <c r="AE65" s="138"/>
      <c r="AF65" s="138"/>
      <c r="AG65" s="138"/>
      <c r="AH65" s="138"/>
      <c r="AI65" s="138"/>
      <c r="AJ65" s="139"/>
    </row>
    <row r="66" spans="1:37" ht="20" customHeight="1">
      <c r="A66" s="67" t="s">
        <v>101</v>
      </c>
      <c r="B66" s="68"/>
      <c r="C66" s="68"/>
      <c r="D66" s="68"/>
      <c r="E66" s="68"/>
      <c r="F66" s="68"/>
      <c r="G66" s="69"/>
      <c r="H66" s="43" t="s">
        <v>102</v>
      </c>
      <c r="I66" s="44"/>
      <c r="J66" s="44"/>
      <c r="K66" s="44"/>
      <c r="L66" s="44"/>
      <c r="M66" s="44"/>
      <c r="N66" s="44"/>
      <c r="O66" s="44"/>
      <c r="P66" s="44"/>
      <c r="Q66" s="44"/>
      <c r="R66" s="44"/>
      <c r="S66" s="44"/>
      <c r="T66" s="44"/>
      <c r="U66" s="44"/>
      <c r="V66" s="44"/>
      <c r="W66" s="44"/>
      <c r="X66" s="44"/>
      <c r="Y66" s="44"/>
      <c r="Z66" s="44"/>
      <c r="AA66" s="44"/>
      <c r="AB66" s="44"/>
      <c r="AC66" s="45"/>
      <c r="AD66" s="122"/>
      <c r="AE66" s="144"/>
      <c r="AF66" s="144"/>
      <c r="AG66" s="144"/>
      <c r="AH66" s="144"/>
      <c r="AI66" s="144"/>
      <c r="AJ66" s="123"/>
      <c r="AK66" s="145"/>
    </row>
    <row r="67" spans="1:37" ht="18" customHeight="1">
      <c r="A67" s="120" t="s">
        <v>103</v>
      </c>
      <c r="B67" s="136"/>
      <c r="C67" s="136"/>
      <c r="D67" s="121"/>
      <c r="E67" s="58"/>
      <c r="F67" s="59"/>
      <c r="G67" s="59"/>
      <c r="H67" s="59"/>
      <c r="I67" s="59"/>
      <c r="J67" s="59"/>
      <c r="K67" s="59"/>
      <c r="L67" s="59"/>
      <c r="M67" s="59"/>
      <c r="N67" s="59"/>
      <c r="O67" s="59"/>
      <c r="P67" s="59"/>
      <c r="Q67" s="59"/>
      <c r="R67" s="59"/>
      <c r="S67" s="59"/>
      <c r="T67" s="59"/>
      <c r="U67" s="59"/>
      <c r="V67" s="59"/>
      <c r="W67" s="59"/>
      <c r="X67" s="59"/>
      <c r="Y67" s="59"/>
      <c r="Z67" s="59"/>
      <c r="AA67" s="59"/>
      <c r="AB67" s="59"/>
      <c r="AC67" s="59"/>
      <c r="AD67" s="59"/>
      <c r="AE67" s="59"/>
      <c r="AF67" s="59"/>
      <c r="AG67" s="59"/>
      <c r="AH67" s="59"/>
      <c r="AI67" s="59"/>
      <c r="AJ67" s="60"/>
      <c r="AK67" s="146"/>
    </row>
    <row r="68" spans="1:37" ht="18" customHeight="1">
      <c r="A68" s="137"/>
      <c r="B68" s="138"/>
      <c r="C68" s="138"/>
      <c r="D68" s="139"/>
      <c r="E68" s="61"/>
      <c r="F68" s="62"/>
      <c r="G68" s="62"/>
      <c r="H68" s="62"/>
      <c r="I68" s="62"/>
      <c r="J68" s="62"/>
      <c r="K68" s="62"/>
      <c r="L68" s="62"/>
      <c r="M68" s="62"/>
      <c r="N68" s="62"/>
      <c r="O68" s="62"/>
      <c r="P68" s="62"/>
      <c r="Q68" s="62"/>
      <c r="R68" s="62"/>
      <c r="S68" s="62"/>
      <c r="T68" s="62"/>
      <c r="U68" s="62"/>
      <c r="V68" s="62"/>
      <c r="W68" s="62"/>
      <c r="X68" s="62"/>
      <c r="Y68" s="62"/>
      <c r="Z68" s="62"/>
      <c r="AA68" s="62"/>
      <c r="AB68" s="62"/>
      <c r="AC68" s="62"/>
      <c r="AD68" s="62"/>
      <c r="AE68" s="62"/>
      <c r="AF68" s="62"/>
      <c r="AG68" s="62"/>
      <c r="AH68" s="62"/>
      <c r="AI68" s="62"/>
      <c r="AJ68" s="63"/>
    </row>
    <row r="69" spans="1:37" ht="18" customHeight="1">
      <c r="A69" s="137"/>
      <c r="B69" s="138"/>
      <c r="C69" s="138"/>
      <c r="D69" s="139"/>
      <c r="E69" s="61"/>
      <c r="F69" s="62"/>
      <c r="G69" s="62"/>
      <c r="H69" s="62"/>
      <c r="I69" s="62"/>
      <c r="J69" s="62"/>
      <c r="K69" s="62"/>
      <c r="L69" s="62"/>
      <c r="M69" s="62"/>
      <c r="N69" s="62"/>
      <c r="O69" s="62"/>
      <c r="P69" s="62"/>
      <c r="Q69" s="62"/>
      <c r="R69" s="62"/>
      <c r="S69" s="62"/>
      <c r="T69" s="62"/>
      <c r="U69" s="62"/>
      <c r="V69" s="62"/>
      <c r="W69" s="62"/>
      <c r="X69" s="62"/>
      <c r="Y69" s="62"/>
      <c r="Z69" s="62"/>
      <c r="AA69" s="62"/>
      <c r="AB69" s="62"/>
      <c r="AC69" s="62"/>
      <c r="AD69" s="62"/>
      <c r="AE69" s="62"/>
      <c r="AF69" s="62"/>
      <c r="AG69" s="62"/>
      <c r="AH69" s="62"/>
      <c r="AI69" s="62"/>
      <c r="AJ69" s="63"/>
    </row>
    <row r="70" spans="1:37" ht="18" customHeight="1">
      <c r="A70" s="137"/>
      <c r="B70" s="138"/>
      <c r="C70" s="138"/>
      <c r="D70" s="139"/>
      <c r="E70" s="61"/>
      <c r="F70" s="62"/>
      <c r="G70" s="62"/>
      <c r="H70" s="62"/>
      <c r="I70" s="62"/>
      <c r="J70" s="6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3"/>
    </row>
    <row r="71" spans="1:37" ht="18" customHeight="1">
      <c r="A71" s="122"/>
      <c r="B71" s="144"/>
      <c r="C71" s="144"/>
      <c r="D71" s="123"/>
      <c r="E71" s="64"/>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6"/>
    </row>
    <row r="72" spans="1:37" ht="18" customHeight="1">
      <c r="A72" s="120" t="s">
        <v>104</v>
      </c>
      <c r="B72" s="136"/>
      <c r="C72" s="136"/>
      <c r="D72" s="121"/>
      <c r="E72" s="46"/>
      <c r="F72" s="47"/>
      <c r="G72" s="47"/>
      <c r="H72" s="47"/>
      <c r="I72" s="47"/>
      <c r="J72" s="47"/>
      <c r="K72" s="47"/>
      <c r="L72" s="48"/>
      <c r="M72" s="120" t="s">
        <v>105</v>
      </c>
      <c r="N72" s="136"/>
      <c r="O72" s="121"/>
      <c r="P72" s="46"/>
      <c r="Q72" s="47"/>
      <c r="R72" s="47"/>
      <c r="S72" s="47"/>
      <c r="T72" s="47"/>
      <c r="U72" s="47"/>
      <c r="V72" s="47"/>
      <c r="W72" s="47"/>
      <c r="X72" s="48"/>
      <c r="Y72" s="120" t="s">
        <v>106</v>
      </c>
      <c r="Z72" s="136"/>
      <c r="AA72" s="136"/>
      <c r="AB72" s="136"/>
      <c r="AC72" s="121"/>
      <c r="AD72" s="46"/>
      <c r="AE72" s="47"/>
      <c r="AF72" s="47"/>
      <c r="AG72" s="47"/>
      <c r="AH72" s="47"/>
      <c r="AI72" s="47"/>
      <c r="AJ72" s="48"/>
    </row>
    <row r="73" spans="1:37" ht="18" customHeight="1">
      <c r="A73" s="122"/>
      <c r="B73" s="144"/>
      <c r="C73" s="144"/>
      <c r="D73" s="123"/>
      <c r="E73" s="49"/>
      <c r="F73" s="50"/>
      <c r="G73" s="50"/>
      <c r="H73" s="50"/>
      <c r="I73" s="50"/>
      <c r="J73" s="50"/>
      <c r="K73" s="50"/>
      <c r="L73" s="51"/>
      <c r="M73" s="122"/>
      <c r="N73" s="144"/>
      <c r="O73" s="123"/>
      <c r="P73" s="49"/>
      <c r="Q73" s="50"/>
      <c r="R73" s="50"/>
      <c r="S73" s="50"/>
      <c r="T73" s="50"/>
      <c r="U73" s="50"/>
      <c r="V73" s="50"/>
      <c r="W73" s="50"/>
      <c r="X73" s="51"/>
      <c r="Y73" s="122"/>
      <c r="Z73" s="144"/>
      <c r="AA73" s="144"/>
      <c r="AB73" s="144"/>
      <c r="AC73" s="123"/>
      <c r="AD73" s="49"/>
      <c r="AE73" s="50"/>
      <c r="AF73" s="50"/>
      <c r="AG73" s="50"/>
      <c r="AH73" s="50"/>
      <c r="AI73" s="50"/>
      <c r="AJ73" s="51"/>
    </row>
    <row r="74" spans="1:37" ht="18" customHeight="1">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row>
    <row r="75" spans="1:37" ht="18" customHeight="1">
      <c r="A75" s="148"/>
      <c r="B75" s="148"/>
      <c r="C75" s="148"/>
      <c r="D75" s="148"/>
      <c r="E75" s="148"/>
      <c r="F75" s="149" t="s">
        <v>107</v>
      </c>
      <c r="G75" s="149"/>
      <c r="H75" s="149"/>
      <c r="I75" s="149"/>
      <c r="J75" s="149"/>
      <c r="K75" s="149"/>
      <c r="L75" s="149"/>
      <c r="M75" s="149"/>
      <c r="N75" s="149"/>
      <c r="O75" s="149"/>
      <c r="P75" s="149"/>
      <c r="Q75" s="149"/>
      <c r="R75" s="149"/>
      <c r="S75" s="149"/>
      <c r="T75" s="149"/>
      <c r="U75" s="149"/>
      <c r="V75" s="149"/>
      <c r="W75" s="149"/>
      <c r="X75" s="149"/>
      <c r="Y75" s="149"/>
      <c r="Z75" s="149"/>
      <c r="AA75" s="149"/>
      <c r="AB75" s="149"/>
      <c r="AC75" s="148"/>
      <c r="AD75" s="148"/>
      <c r="AE75" s="148"/>
      <c r="AF75" s="148"/>
      <c r="AG75" s="148"/>
      <c r="AH75" s="148"/>
      <c r="AI75" s="148"/>
      <c r="AJ75" s="148"/>
    </row>
    <row r="76" spans="1:37" ht="18" customHeight="1">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c r="AB76" s="148"/>
      <c r="AC76" s="148"/>
      <c r="AD76" s="148"/>
      <c r="AE76" s="148"/>
      <c r="AF76" s="148"/>
      <c r="AG76" s="148"/>
      <c r="AH76" s="148"/>
      <c r="AI76" s="148"/>
      <c r="AJ76" s="148"/>
    </row>
    <row r="77" spans="1:37" ht="18" customHeight="1">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row>
    <row r="78" spans="1:37" ht="18" customHeight="1">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row>
    <row r="79" spans="1:37" ht="18" customHeight="1"/>
    <row r="80" spans="1:37" ht="18" customHeight="1"/>
    <row r="81" s="75" customFormat="1" ht="18" customHeight="1"/>
    <row r="82" s="75" customFormat="1" ht="18" customHeight="1"/>
    <row r="83" s="75" customFormat="1" ht="18" customHeight="1"/>
    <row r="84" s="75" customFormat="1" ht="18" customHeight="1"/>
    <row r="85" s="75" customFormat="1" ht="18" customHeight="1"/>
    <row r="86" s="75" customFormat="1" ht="18" customHeight="1"/>
    <row r="87" s="75" customFormat="1" ht="18" customHeight="1"/>
  </sheetData>
  <sheetProtection algorithmName="SHA-512" hashValue="IyItKrDnoWpd6U9RG7dua3o8Wdh93AK8DzP9U/IVHwUeD1tKrBJPbQdZcnf3jX7uAc0vCZx0lQuj8sLdFwSMeA==" saltValue="Tnkrykp6bk1ZRsdQTXgFww==" spinCount="100000" sheet="1" objects="1" scenarios="1" formatCells="0"/>
  <mergeCells count="168">
    <mergeCell ref="H64:AA64"/>
    <mergeCell ref="AB64:AC64"/>
    <mergeCell ref="H65:AC65"/>
    <mergeCell ref="A66:G66"/>
    <mergeCell ref="H66:AC66"/>
    <mergeCell ref="F75:AB75"/>
    <mergeCell ref="AD72:AJ73"/>
    <mergeCell ref="AL2:AY16"/>
    <mergeCell ref="A72:D73"/>
    <mergeCell ref="A67:D71"/>
    <mergeCell ref="Y72:AC73"/>
    <mergeCell ref="E72:L73"/>
    <mergeCell ref="A23:G24"/>
    <mergeCell ref="A29:G30"/>
    <mergeCell ref="V44:AC45"/>
    <mergeCell ref="T44:U45"/>
    <mergeCell ref="A63:G64"/>
    <mergeCell ref="M72:O73"/>
    <mergeCell ref="P72:X73"/>
    <mergeCell ref="A49:G52"/>
    <mergeCell ref="AD49:AJ53"/>
    <mergeCell ref="AD55:AJ66"/>
    <mergeCell ref="E67:AJ71"/>
    <mergeCell ref="A46:B47"/>
    <mergeCell ref="A59:G59"/>
    <mergeCell ref="H59:AC59"/>
    <mergeCell ref="A60:G60"/>
    <mergeCell ref="H60:AC60"/>
    <mergeCell ref="A61:G61"/>
    <mergeCell ref="H61:AC61"/>
    <mergeCell ref="A62:G62"/>
    <mergeCell ref="H62:AC62"/>
    <mergeCell ref="H63:AC63"/>
    <mergeCell ref="A55:G55"/>
    <mergeCell ref="H55:AC55"/>
    <mergeCell ref="A56:G56"/>
    <mergeCell ref="H56:O56"/>
    <mergeCell ref="P56:AC56"/>
    <mergeCell ref="A57:G57"/>
    <mergeCell ref="H57:AC57"/>
    <mergeCell ref="A58:G58"/>
    <mergeCell ref="H58:AC58"/>
    <mergeCell ref="H49:AC49"/>
    <mergeCell ref="H50:AC50"/>
    <mergeCell ref="H51:AC51"/>
    <mergeCell ref="H52:AC52"/>
    <mergeCell ref="A53:G53"/>
    <mergeCell ref="H53:U53"/>
    <mergeCell ref="V53:Y53"/>
    <mergeCell ref="Z53:AC53"/>
    <mergeCell ref="A54:AJ54"/>
    <mergeCell ref="C44:G44"/>
    <mergeCell ref="H44:S44"/>
    <mergeCell ref="C45:G45"/>
    <mergeCell ref="H45:S45"/>
    <mergeCell ref="C46:G46"/>
    <mergeCell ref="H46:S46"/>
    <mergeCell ref="C47:G47"/>
    <mergeCell ref="H47:S47"/>
    <mergeCell ref="A48:AJ48"/>
    <mergeCell ref="T46:U47"/>
    <mergeCell ref="AD40:AJ47"/>
    <mergeCell ref="A44:B45"/>
    <mergeCell ref="V46:AC47"/>
    <mergeCell ref="A39:AJ39"/>
    <mergeCell ref="A40:G40"/>
    <mergeCell ref="H40:AC40"/>
    <mergeCell ref="A41:G41"/>
    <mergeCell ref="H41:AC41"/>
    <mergeCell ref="A42:G42"/>
    <mergeCell ref="H42:AC42"/>
    <mergeCell ref="A43:G43"/>
    <mergeCell ref="H43:AC43"/>
    <mergeCell ref="A35:C35"/>
    <mergeCell ref="D35:G35"/>
    <mergeCell ref="H35:AC35"/>
    <mergeCell ref="A36:C36"/>
    <mergeCell ref="D36:G36"/>
    <mergeCell ref="H36:AC36"/>
    <mergeCell ref="A37:G37"/>
    <mergeCell ref="H37:AC37"/>
    <mergeCell ref="A38:G38"/>
    <mergeCell ref="H38:AC38"/>
    <mergeCell ref="H29:AC29"/>
    <mergeCell ref="H30:AC30"/>
    <mergeCell ref="A31:G31"/>
    <mergeCell ref="H31:AC31"/>
    <mergeCell ref="A32:G32"/>
    <mergeCell ref="H32:AC32"/>
    <mergeCell ref="A33:AJ33"/>
    <mergeCell ref="A34:G34"/>
    <mergeCell ref="H34:AC34"/>
    <mergeCell ref="AD29:AJ32"/>
    <mergeCell ref="AD34:AJ38"/>
    <mergeCell ref="A25:G25"/>
    <mergeCell ref="H25:AC25"/>
    <mergeCell ref="AN25:AW25"/>
    <mergeCell ref="A26:G26"/>
    <mergeCell ref="H26:AC26"/>
    <mergeCell ref="AN26:AW26"/>
    <mergeCell ref="A27:G27"/>
    <mergeCell ref="H27:AC27"/>
    <mergeCell ref="A28:AJ28"/>
    <mergeCell ref="AD23:AJ27"/>
    <mergeCell ref="A19:AJ19"/>
    <mergeCell ref="A20:G20"/>
    <mergeCell ref="H20:AC20"/>
    <mergeCell ref="AN20:AW20"/>
    <mergeCell ref="A21:G21"/>
    <mergeCell ref="H21:AC21"/>
    <mergeCell ref="A22:AJ22"/>
    <mergeCell ref="H23:AC23"/>
    <mergeCell ref="H24:AC24"/>
    <mergeCell ref="AD20:AJ21"/>
    <mergeCell ref="A16:G16"/>
    <mergeCell ref="H16:R16"/>
    <mergeCell ref="S16:Y16"/>
    <mergeCell ref="Z16:AJ16"/>
    <mergeCell ref="A17:G17"/>
    <mergeCell ref="H17:O17"/>
    <mergeCell ref="P17:AA17"/>
    <mergeCell ref="AB17:AJ17"/>
    <mergeCell ref="A18:G18"/>
    <mergeCell ref="H18:O18"/>
    <mergeCell ref="P18:AA18"/>
    <mergeCell ref="AB18:AJ18"/>
    <mergeCell ref="A13:G13"/>
    <mergeCell ref="H13:R13"/>
    <mergeCell ref="S13:Y13"/>
    <mergeCell ref="Z13:AJ13"/>
    <mergeCell ref="A14:G14"/>
    <mergeCell ref="H14:R14"/>
    <mergeCell ref="S14:Y14"/>
    <mergeCell ref="Z14:AJ14"/>
    <mergeCell ref="A15:AJ15"/>
    <mergeCell ref="A9:G9"/>
    <mergeCell ref="H9:AJ9"/>
    <mergeCell ref="A10:G10"/>
    <mergeCell ref="H10:R10"/>
    <mergeCell ref="S10:Y10"/>
    <mergeCell ref="Z10:AJ10"/>
    <mergeCell ref="A11:G11"/>
    <mergeCell ref="H11:AJ11"/>
    <mergeCell ref="A12:G12"/>
    <mergeCell ref="H12:R12"/>
    <mergeCell ref="S12:Y12"/>
    <mergeCell ref="Z12:AJ12"/>
    <mergeCell ref="A4:AJ4"/>
    <mergeCell ref="A5:C5"/>
    <mergeCell ref="D5:R5"/>
    <mergeCell ref="S5:Y5"/>
    <mergeCell ref="Z5:AJ5"/>
    <mergeCell ref="A6:C6"/>
    <mergeCell ref="D6:AJ6"/>
    <mergeCell ref="A7:AJ7"/>
    <mergeCell ref="A8:G8"/>
    <mergeCell ref="H8:AJ8"/>
    <mergeCell ref="A1:H1"/>
    <mergeCell ref="I1:AD1"/>
    <mergeCell ref="AE1:AJ1"/>
    <mergeCell ref="A2:C2"/>
    <mergeCell ref="D2:R2"/>
    <mergeCell ref="S2:Y2"/>
    <mergeCell ref="Z2:AJ2"/>
    <mergeCell ref="A3:C3"/>
    <mergeCell ref="D3:R3"/>
    <mergeCell ref="S3:Y3"/>
    <mergeCell ref="Z3:AJ3"/>
  </mergeCells>
  <dataValidations count="4">
    <dataValidation type="whole" allowBlank="1" showInputMessage="1" showErrorMessage="1" sqref="Z16:AJ16" xr:uid="{00000000-0002-0000-0000-000005000000}">
      <formula1>2</formula1>
      <formula2>35</formula2>
    </dataValidation>
    <dataValidation type="list" errorStyle="information" allowBlank="1" showInputMessage="1" sqref="I24:AC24" xr:uid="{00000000-0002-0000-0000-000008000000}">
      <formula1>INDIRECT($H$23)</formula1>
    </dataValidation>
    <dataValidation type="list" allowBlank="1" showInputMessage="1" showErrorMessage="1" sqref="I30:AC30" xr:uid="{00000000-0002-0000-0000-00000C000000}">
      <formula1>INDIRECT($H$29)</formula1>
    </dataValidation>
    <dataValidation allowBlank="1" showInputMessage="1" showErrorMessage="1" sqref="AD31:AJ31 D36 D37:G37 AF38:AJ38 AK43 A52:B52 D52:XFD52 H53:S53 U53:XFD53 G55 P56:S56 AF58:AJ58 A63 H63:AJ63 AB64 AD64:AJ64 A65:AJ65 A56:G62 D50:G51 AD36:AJ37 AD59:AJ62" xr:uid="{00000000-0002-0000-0000-00000E000000}"/>
  </dataValidations>
  <pageMargins left="0.24791666666666701" right="0.24791666666666701" top="0.55486111111111103" bottom="0.55486111111111103" header="0.29861111111111099" footer="0.29861111111111099"/>
  <pageSetup paperSize="9" fitToHeight="3" orientation="portrait"/>
  <drawing r:id="rId1"/>
  <legacyDrawing r:id="rId2"/>
  <controls>
    <mc:AlternateContent xmlns:mc="http://schemas.openxmlformats.org/markup-compatibility/2006">
      <mc:Choice Requires="x14">
        <control shapeId="1076" r:id="rId3" name="CommandButton2">
          <controlPr defaultSize="0" altText="" r:id="rId4">
            <anchor moveWithCells="1">
              <from>
                <xdr:col>42</xdr:col>
                <xdr:colOff>76200</xdr:colOff>
                <xdr:row>0</xdr:row>
                <xdr:rowOff>127000</xdr:rowOff>
              </from>
              <to>
                <xdr:col>48</xdr:col>
                <xdr:colOff>44450</xdr:colOff>
                <xdr:row>0</xdr:row>
                <xdr:rowOff>571500</xdr:rowOff>
              </to>
            </anchor>
          </controlPr>
        </control>
      </mc:Choice>
      <mc:Fallback>
        <control shapeId="1076" r:id="rId3" name="CommandButton2"/>
      </mc:Fallback>
    </mc:AlternateContent>
    <mc:AlternateContent xmlns:mc="http://schemas.openxmlformats.org/markup-compatibility/2006">
      <mc:Choice Requires="x14">
        <control shapeId="1064" r:id="rId5" name="ListBox3">
          <controlPr defaultSize="0" altText="" listFillRange="'Data Source'!B27:B31" r:id="rId6">
            <anchor moveWithCells="1">
              <from>
                <xdr:col>7</xdr:col>
                <xdr:colOff>0</xdr:colOff>
                <xdr:row>64</xdr:row>
                <xdr:rowOff>247650</xdr:rowOff>
              </from>
              <to>
                <xdr:col>29</xdr:col>
                <xdr:colOff>63500</xdr:colOff>
                <xdr:row>67</xdr:row>
                <xdr:rowOff>184150</xdr:rowOff>
              </to>
            </anchor>
          </controlPr>
        </control>
      </mc:Choice>
      <mc:Fallback>
        <control shapeId="1064" r:id="rId5" name="ListBox3"/>
      </mc:Fallback>
    </mc:AlternateContent>
    <mc:AlternateContent xmlns:mc="http://schemas.openxmlformats.org/markup-compatibility/2006">
      <mc:Choice Requires="x14">
        <control shapeId="1031" r:id="rId7" name="CommandButton1">
          <controlPr defaultSize="0" altText="" r:id="rId8">
            <anchor moveWithCells="1">
              <from>
                <xdr:col>37</xdr:col>
                <xdr:colOff>57150</xdr:colOff>
                <xdr:row>0</xdr:row>
                <xdr:rowOff>127000</xdr:rowOff>
              </from>
              <to>
                <xdr:col>41</xdr:col>
                <xdr:colOff>63500</xdr:colOff>
                <xdr:row>0</xdr:row>
                <xdr:rowOff>571500</xdr:rowOff>
              </to>
            </anchor>
          </controlPr>
        </control>
      </mc:Choice>
      <mc:Fallback>
        <control shapeId="1031" r:id="rId7" name="CommandButton1"/>
      </mc:Fallback>
    </mc:AlternateContent>
    <mc:AlternateContent xmlns:mc="http://schemas.openxmlformats.org/markup-compatibility/2006">
      <mc:Choice Requires="x14">
        <control shapeId="1027" r:id="rId9" name="ListBox2">
          <controlPr defaultSize="0" altText="" r:id="rId10">
            <anchor moveWithCells="1">
              <from>
                <xdr:col>7</xdr:col>
                <xdr:colOff>0</xdr:colOff>
                <xdr:row>65</xdr:row>
                <xdr:rowOff>247650</xdr:rowOff>
              </from>
              <to>
                <xdr:col>7</xdr:col>
                <xdr:colOff>6350</xdr:colOff>
                <xdr:row>66</xdr:row>
                <xdr:rowOff>0</xdr:rowOff>
              </to>
            </anchor>
          </controlPr>
        </control>
      </mc:Choice>
      <mc:Fallback>
        <control shapeId="1027" r:id="rId9" name="ListBox2"/>
      </mc:Fallback>
    </mc:AlternateContent>
    <mc:AlternateContent xmlns:mc="http://schemas.openxmlformats.org/markup-compatibility/2006">
      <mc:Choice Requires="x14">
        <control shapeId="1025" r:id="rId11" name="ListBox1">
          <controlPr defaultSize="0" altText="" listFillRange="'Data Source'!B27:B31" r:id="rId12">
            <anchor moveWithCells="1">
              <from>
                <xdr:col>7</xdr:col>
                <xdr:colOff>0</xdr:colOff>
                <xdr:row>62</xdr:row>
                <xdr:rowOff>247650</xdr:rowOff>
              </from>
              <to>
                <xdr:col>29</xdr:col>
                <xdr:colOff>63500</xdr:colOff>
                <xdr:row>66</xdr:row>
                <xdr:rowOff>0</xdr:rowOff>
              </to>
            </anchor>
          </controlPr>
        </control>
      </mc:Choice>
      <mc:Fallback>
        <control shapeId="1025" r:id="rId11" name="ListBox1"/>
      </mc:Fallback>
    </mc:AlternateContent>
  </controls>
  <extLst>
    <ext xmlns:x14="http://schemas.microsoft.com/office/spreadsheetml/2009/9/main" uri="{CCE6A557-97BC-4b89-ADB6-D9C93CAAB3DF}">
      <x14:dataValidations xmlns:xm="http://schemas.microsoft.com/office/excel/2006/main" count="31">
        <x14:dataValidation type="list" allowBlank="1" showInputMessage="1" showErrorMessage="1" xr:uid="{00000000-0002-0000-0000-000000000000}">
          <x14:formula1>
            <xm:f>ku!$A$248:$A$257</xm:f>
          </x14:formula1>
          <xm:sqref>D2:R2</xm:sqref>
        </x14:dataValidation>
        <x14:dataValidation type="list" allowBlank="1" showInputMessage="1" showErrorMessage="1" xr:uid="{00000000-0002-0000-0000-000001000000}">
          <x14:formula1>
            <xm:f>ku!$A$242</xm:f>
          </x14:formula1>
          <xm:sqref>Z3:AJ3</xm:sqref>
        </x14:dataValidation>
        <x14:dataValidation type="list" allowBlank="1" showInputMessage="1" showErrorMessage="1" xr:uid="{00000000-0002-0000-0000-000002000000}">
          <x14:formula1>
            <xm:f>'Data Source'!$B$61:$B$62</xm:f>
          </x14:formula1>
          <xm:sqref>H10:R10</xm:sqref>
        </x14:dataValidation>
        <x14:dataValidation type="list" allowBlank="1" showInputMessage="1" showErrorMessage="1" xr:uid="{00000000-0002-0000-0000-000003000000}">
          <x14:formula1>
            <xm:f>ku!$A$399:$A$401</xm:f>
          </x14:formula1>
          <xm:sqref>Z12:AJ12</xm:sqref>
        </x14:dataValidation>
        <x14:dataValidation type="list" allowBlank="1" showInputMessage="1" showErrorMessage="1" xr:uid="{00000000-0002-0000-0000-000004000000}">
          <x14:formula1>
            <xm:f>ku!$A$296:$A$297</xm:f>
          </x14:formula1>
          <xm:sqref>H16:R16</xm:sqref>
        </x14:dataValidation>
        <x14:dataValidation type="list" allowBlank="1" showInputMessage="1" showErrorMessage="1" xr:uid="{00000000-0002-0000-0000-000006000000}">
          <x14:formula1>
            <xm:f>ku!$A$17:$A$18</xm:f>
          </x14:formula1>
          <xm:sqref>H21:AC21</xm:sqref>
        </x14:dataValidation>
        <x14:dataValidation type="list" allowBlank="1" showInputMessage="1" showErrorMessage="1" xr:uid="{00000000-0002-0000-0000-000007000000}">
          <x14:formula1>
            <xm:f>'Data Source'!$B$14:$B$15</xm:f>
          </x14:formula1>
          <xm:sqref>H23:AC23 H29:AC29</xm:sqref>
        </x14:dataValidation>
        <x14:dataValidation type="list" allowBlank="1" showInputMessage="1" showErrorMessage="1" xr:uid="{00000000-0002-0000-0000-000009000000}">
          <x14:formula1>
            <xm:f>ku!$A$31:$A$33</xm:f>
          </x14:formula1>
          <xm:sqref>H25:AC25</xm:sqref>
        </x14:dataValidation>
        <x14:dataValidation type="list" allowBlank="1" showInputMessage="1" showErrorMessage="1" xr:uid="{00000000-0002-0000-0000-00000A000000}">
          <x14:formula1>
            <xm:f>ku!$A$42:$A$43</xm:f>
          </x14:formula1>
          <xm:sqref>H26:AC26</xm:sqref>
        </x14:dataValidation>
        <x14:dataValidation type="list" allowBlank="1" showInputMessage="1" showErrorMessage="1" xr:uid="{00000000-0002-0000-0000-00000B000000}">
          <x14:formula1>
            <xm:f>ku!$A$52:$A$56</xm:f>
          </x14:formula1>
          <xm:sqref>H27:AC27</xm:sqref>
        </x14:dataValidation>
        <x14:dataValidation type="list" allowBlank="1" showInputMessage="1" showErrorMessage="1" xr:uid="{00000000-0002-0000-0000-00000D000000}">
          <x14:formula1>
            <xm:f>ku!$C$31:$C$33</xm:f>
          </x14:formula1>
          <xm:sqref>H31:AC31</xm:sqref>
        </x14:dataValidation>
        <x14:dataValidation type="list" allowBlank="1" showInputMessage="1" showErrorMessage="1" xr:uid="{00000000-0002-0000-0000-00000F000000}">
          <x14:formula1>
            <xm:f>ku!$A$72:$A$73</xm:f>
          </x14:formula1>
          <xm:sqref>H32:AC32</xm:sqref>
        </x14:dataValidation>
        <x14:dataValidation type="list" allowBlank="1" showInputMessage="1" showErrorMessage="1" xr:uid="{00000000-0002-0000-0000-000010000000}">
          <x14:formula1>
            <xm:f>ku!$A$79</xm:f>
          </x14:formula1>
          <xm:sqref>H34:AC34</xm:sqref>
        </x14:dataValidation>
        <x14:dataValidation type="list" allowBlank="1" showInputMessage="1" showErrorMessage="1" xr:uid="{00000000-0002-0000-0000-000011000000}">
          <x14:formula1>
            <xm:f>ku!$A$112:$A$113</xm:f>
          </x14:formula1>
          <xm:sqref>H35:AC35</xm:sqref>
        </x14:dataValidation>
        <x14:dataValidation type="list" allowBlank="1" showInputMessage="1" showErrorMessage="1" xr:uid="{00000000-0002-0000-0000-000012000000}">
          <x14:formula1>
            <xm:f>ku!$D$122:$D$129</xm:f>
          </x14:formula1>
          <xm:sqref>H37:AC37</xm:sqref>
        </x14:dataValidation>
        <x14:dataValidation type="list" allowBlank="1" showInputMessage="1" showErrorMessage="1" xr:uid="{00000000-0002-0000-0000-000013000000}">
          <x14:formula1>
            <xm:f>ku!$A$117:$A$118</xm:f>
          </x14:formula1>
          <xm:sqref>H38:AC38</xm:sqref>
        </x14:dataValidation>
        <x14:dataValidation type="list" allowBlank="1" showErrorMessage="1" error="请选择列表中的选项！" xr:uid="{00000000-0002-0000-0000-000014000000}">
          <x14:formula1>
            <xm:f>'Data Source'!$B$71:$B$78</xm:f>
          </x14:formula1>
          <xm:sqref>H40</xm:sqref>
        </x14:dataValidation>
        <x14:dataValidation type="list" allowBlank="1" showInputMessage="1" showErrorMessage="1" xr:uid="{00000000-0002-0000-0000-000015000000}">
          <x14:formula1>
            <xm:f>'Data Source'!$F$36:$F$38</xm:f>
          </x14:formula1>
          <xm:sqref>H43:AC43</xm:sqref>
        </x14:dataValidation>
        <x14:dataValidation type="list" errorStyle="information" allowBlank="1" showInputMessage="1" xr:uid="{00000000-0002-0000-0000-000016000000}">
          <x14:formula1>
            <xm:f>ku!$B$162:$B$167</xm:f>
          </x14:formula1>
          <xm:sqref>H44:S44 H46:S46</xm:sqref>
        </x14:dataValidation>
        <x14:dataValidation type="list" errorStyle="information" allowBlank="1" showInputMessage="1" xr:uid="{00000000-0002-0000-0000-000017000000}">
          <x14:formula1>
            <xm:f>ku!$G$162:$G$168</xm:f>
          </x14:formula1>
          <xm:sqref>H45:S45 H47:S47</xm:sqref>
        </x14:dataValidation>
        <x14:dataValidation type="list" allowBlank="1" showInputMessage="1" showErrorMessage="1" xr:uid="{00000000-0002-0000-0000-000018000000}">
          <x14:formula1>
            <xm:f>ku!$B$172:$B$175</xm:f>
          </x14:formula1>
          <xm:sqref>H49:AC49</xm:sqref>
        </x14:dataValidation>
        <x14:dataValidation type="list" allowBlank="1" showInputMessage="1" showErrorMessage="1" xr:uid="{00000000-0002-0000-0000-000019000000}">
          <x14:formula1>
            <xm:f>ku!$A$178:$A$179</xm:f>
          </x14:formula1>
          <xm:sqref>H55:AC55</xm:sqref>
        </x14:dataValidation>
        <x14:dataValidation type="list" allowBlank="1" showInputMessage="1" showErrorMessage="1" xr:uid="{00000000-0002-0000-0000-00001A000000}">
          <x14:formula1>
            <xm:f>ku!$N$1:$N$7</xm:f>
          </x14:formula1>
          <xm:sqref>H56:O56</xm:sqref>
        </x14:dataValidation>
        <x14:dataValidation type="list" allowBlank="1" showInputMessage="1" showErrorMessage="1" xr:uid="{00000000-0002-0000-0000-00001B000000}">
          <x14:formula1>
            <xm:f>ku!$A$270:$A$271</xm:f>
          </x14:formula1>
          <xm:sqref>H57:AC57</xm:sqref>
        </x14:dataValidation>
        <x14:dataValidation type="list" allowBlank="1" showInputMessage="1" showErrorMessage="1" xr:uid="{00000000-0002-0000-0000-00001C000000}">
          <x14:formula1>
            <xm:f>ku!$B$178:$B$179</xm:f>
          </x14:formula1>
          <xm:sqref>H58:AE58</xm:sqref>
        </x14:dataValidation>
        <x14:dataValidation type="list" allowBlank="1" showInputMessage="1" showErrorMessage="1" xr:uid="{00000000-0002-0000-0000-00001D000000}">
          <x14:formula1>
            <xm:f>ku!$A$186:$A$187</xm:f>
          </x14:formula1>
          <xm:sqref>H59:AC59</xm:sqref>
        </x14:dataValidation>
        <x14:dataValidation type="list" allowBlank="1" showInputMessage="1" showErrorMessage="1" xr:uid="{00000000-0002-0000-0000-00001E000000}">
          <x14:formula1>
            <xm:f>ku!$A$302:$A$304</xm:f>
          </x14:formula1>
          <xm:sqref>H60:AC60</xm:sqref>
        </x14:dataValidation>
        <x14:dataValidation type="list" errorStyle="information" allowBlank="1" showInputMessage="1" xr:uid="{00000000-0002-0000-0000-00001F000000}">
          <x14:formula1>
            <xm:f>ku!$A$211:$A$219</xm:f>
          </x14:formula1>
          <xm:sqref>H61:AC61</xm:sqref>
        </x14:dataValidation>
        <x14:dataValidation type="list" allowBlank="1" showInputMessage="1" showErrorMessage="1" xr:uid="{00000000-0002-0000-0000-000020000000}">
          <x14:formula1>
            <xm:f>ku!$A$229:$A$233</xm:f>
          </x14:formula1>
          <xm:sqref>H62:AC62</xm:sqref>
        </x14:dataValidation>
        <x14:dataValidation type="list" allowBlank="1" showInputMessage="1" showErrorMessage="1" xr:uid="{00000000-0002-0000-0000-000021000000}">
          <x14:formula1>
            <xm:f>ku!$C$287:$C$290</xm:f>
          </x14:formula1>
          <xm:sqref>H64:AA64</xm:sqref>
        </x14:dataValidation>
        <x14:dataValidation type="list" allowBlank="1" showErrorMessage="1" error="请选择列表中的选项！" xr:uid="{00000000-0002-0000-0000-000022000000}">
          <x14:formula1>
            <xm:f>'Data Source'!$B$71:$B$75</xm:f>
          </x14:formula1>
          <xm:sqref>I40:AC42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401"/>
  <sheetViews>
    <sheetView topLeftCell="A41" workbookViewId="0">
      <selection activeCell="B75" sqref="B75"/>
    </sheetView>
  </sheetViews>
  <sheetFormatPr defaultColWidth="9" defaultRowHeight="14.5"/>
  <cols>
    <col min="1" max="2" width="36.08984375" customWidth="1"/>
    <col min="3" max="3" width="16.54296875" customWidth="1"/>
    <col min="4" max="4" width="20.7265625" customWidth="1"/>
    <col min="5" max="5" width="26.36328125" customWidth="1"/>
    <col min="6" max="6" width="39.6328125" customWidth="1"/>
    <col min="14" max="14" width="30.90625" customWidth="1"/>
    <col min="15" max="15" width="38.90625" customWidth="1"/>
    <col min="16" max="16" width="43.08984375" customWidth="1"/>
    <col min="19" max="19" width="22.36328125" customWidth="1"/>
    <col min="20" max="20" width="29.81640625" customWidth="1"/>
  </cols>
  <sheetData>
    <row r="1" spans="1:16" ht="103" customHeight="1">
      <c r="A1" t="s">
        <v>108</v>
      </c>
      <c r="G1" s="10"/>
      <c r="H1" s="10"/>
      <c r="I1" s="10"/>
      <c r="J1" s="10"/>
      <c r="K1" s="10"/>
      <c r="L1" s="10"/>
      <c r="M1" s="8"/>
      <c r="N1" t="s">
        <v>87</v>
      </c>
      <c r="P1">
        <v>0</v>
      </c>
    </row>
    <row r="2" spans="1:16" ht="103" customHeight="1">
      <c r="A2" t="s">
        <v>109</v>
      </c>
      <c r="F2" s="11"/>
      <c r="G2" s="10"/>
      <c r="H2" s="10"/>
      <c r="I2" s="10"/>
      <c r="J2" s="10"/>
      <c r="K2" s="10"/>
      <c r="L2" s="10"/>
      <c r="M2" s="8"/>
      <c r="N2" s="11" t="s">
        <v>110</v>
      </c>
      <c r="P2">
        <v>0</v>
      </c>
    </row>
    <row r="3" spans="1:16" ht="103" customHeight="1">
      <c r="A3" t="s">
        <v>111</v>
      </c>
      <c r="F3" s="11"/>
      <c r="G3" s="10"/>
      <c r="H3" s="10"/>
      <c r="I3" s="10"/>
      <c r="J3" s="10"/>
      <c r="K3" s="10"/>
      <c r="L3" s="8"/>
      <c r="N3" s="12" t="s">
        <v>112</v>
      </c>
      <c r="P3">
        <v>500</v>
      </c>
    </row>
    <row r="4" spans="1:16" ht="135" customHeight="1">
      <c r="E4" s="10"/>
      <c r="F4" s="10"/>
      <c r="G4" s="10"/>
      <c r="N4" s="13" t="s">
        <v>113</v>
      </c>
    </row>
    <row r="5" spans="1:16" ht="135" customHeight="1">
      <c r="A5" t="s">
        <v>114</v>
      </c>
      <c r="E5" s="10"/>
      <c r="F5" s="10"/>
      <c r="G5" s="10"/>
      <c r="N5" t="s">
        <v>115</v>
      </c>
    </row>
    <row r="6" spans="1:16" ht="13" customHeight="1">
      <c r="A6" t="s">
        <v>109</v>
      </c>
      <c r="B6" t="s">
        <v>116</v>
      </c>
      <c r="C6" t="s">
        <v>117</v>
      </c>
      <c r="F6" s="10"/>
      <c r="G6" s="10"/>
      <c r="N6" t="s">
        <v>118</v>
      </c>
    </row>
    <row r="7" spans="1:16" ht="13" customHeight="1">
      <c r="A7" t="s">
        <v>111</v>
      </c>
      <c r="B7" t="s">
        <v>116</v>
      </c>
      <c r="C7" t="s">
        <v>117</v>
      </c>
      <c r="E7" t="s">
        <v>119</v>
      </c>
      <c r="F7" s="10"/>
      <c r="G7" s="10"/>
      <c r="N7" t="s">
        <v>120</v>
      </c>
    </row>
    <row r="8" spans="1:16" ht="13" customHeight="1"/>
    <row r="9" spans="1:16">
      <c r="A9" t="s">
        <v>121</v>
      </c>
    </row>
    <row r="10" spans="1:16">
      <c r="A10" t="s">
        <v>122</v>
      </c>
      <c r="B10" s="10" t="s">
        <v>123</v>
      </c>
      <c r="C10" s="8" t="s">
        <v>124</v>
      </c>
      <c r="D10" s="10"/>
      <c r="E10" s="10"/>
      <c r="F10" s="10"/>
      <c r="G10" s="10"/>
      <c r="H10" s="10"/>
      <c r="I10" s="8"/>
      <c r="J10" s="8"/>
    </row>
    <row r="11" spans="1:16">
      <c r="A11" t="s">
        <v>125</v>
      </c>
      <c r="B11" s="10" t="s">
        <v>126</v>
      </c>
      <c r="C11" s="8" t="s">
        <v>124</v>
      </c>
      <c r="D11" s="10"/>
      <c r="E11" s="8"/>
      <c r="F11" s="10"/>
      <c r="G11" s="10"/>
      <c r="H11" s="10"/>
      <c r="I11" s="8"/>
      <c r="J11" s="8"/>
    </row>
    <row r="12" spans="1:16">
      <c r="A12" t="s">
        <v>127</v>
      </c>
      <c r="B12" s="10">
        <v>380</v>
      </c>
      <c r="C12" s="10">
        <v>400</v>
      </c>
      <c r="D12" s="10">
        <v>415</v>
      </c>
      <c r="E12" s="8" t="s">
        <v>124</v>
      </c>
      <c r="F12" s="10"/>
      <c r="G12" s="10"/>
      <c r="H12" s="10"/>
      <c r="I12" s="8"/>
      <c r="J12" s="8"/>
    </row>
    <row r="13" spans="1:16">
      <c r="A13" t="s">
        <v>128</v>
      </c>
      <c r="B13" s="10">
        <v>380</v>
      </c>
      <c r="C13" s="10">
        <v>400</v>
      </c>
      <c r="D13" s="10">
        <v>415</v>
      </c>
      <c r="E13" s="8" t="s">
        <v>124</v>
      </c>
      <c r="F13" s="10"/>
      <c r="G13" s="10"/>
      <c r="H13" s="10"/>
      <c r="I13" s="8"/>
      <c r="J13" s="8"/>
    </row>
    <row r="16" spans="1:16">
      <c r="A16" t="s">
        <v>129</v>
      </c>
      <c r="B16" t="s">
        <v>130</v>
      </c>
    </row>
    <row r="17" spans="1:9">
      <c r="A17" t="s">
        <v>39</v>
      </c>
      <c r="B17">
        <v>0</v>
      </c>
    </row>
    <row r="18" spans="1:9">
      <c r="A18" t="s">
        <v>131</v>
      </c>
      <c r="B18">
        <v>1500</v>
      </c>
    </row>
    <row r="21" spans="1:9">
      <c r="A21" t="s">
        <v>132</v>
      </c>
    </row>
    <row r="22" spans="1:9">
      <c r="A22" t="s">
        <v>133</v>
      </c>
    </row>
    <row r="23" spans="1:9">
      <c r="A23" t="s">
        <v>134</v>
      </c>
    </row>
    <row r="26" spans="1:9">
      <c r="A26" t="s">
        <v>135</v>
      </c>
    </row>
    <row r="27" spans="1:9">
      <c r="A27" t="s">
        <v>136</v>
      </c>
      <c r="B27" t="s">
        <v>137</v>
      </c>
      <c r="C27" t="s">
        <v>138</v>
      </c>
      <c r="D27" t="s">
        <v>139</v>
      </c>
      <c r="E27" t="s">
        <v>140</v>
      </c>
      <c r="F27" t="s">
        <v>141</v>
      </c>
      <c r="G27" t="s">
        <v>142</v>
      </c>
      <c r="H27" t="s">
        <v>143</v>
      </c>
      <c r="I27" t="s">
        <v>144</v>
      </c>
    </row>
    <row r="30" spans="1:9">
      <c r="A30" t="s">
        <v>145</v>
      </c>
      <c r="C30" t="s">
        <v>146</v>
      </c>
    </row>
    <row r="31" spans="1:9">
      <c r="A31" t="s">
        <v>44</v>
      </c>
      <c r="C31" t="s">
        <v>44</v>
      </c>
    </row>
    <row r="32" spans="1:9">
      <c r="A32" t="s">
        <v>147</v>
      </c>
      <c r="C32" t="s">
        <v>148</v>
      </c>
    </row>
    <row r="33" spans="1:4">
      <c r="A33" t="s">
        <v>149</v>
      </c>
      <c r="C33" t="s">
        <v>150</v>
      </c>
    </row>
    <row r="34" spans="1:4" ht="21" customHeight="1"/>
    <row r="35" spans="1:4" ht="21" customHeight="1">
      <c r="A35" t="s">
        <v>151</v>
      </c>
    </row>
    <row r="36" spans="1:4" ht="21" customHeight="1">
      <c r="A36" t="s">
        <v>152</v>
      </c>
      <c r="B36" t="s">
        <v>153</v>
      </c>
      <c r="C36" t="s">
        <v>154</v>
      </c>
      <c r="D36" s="8" t="s">
        <v>155</v>
      </c>
    </row>
    <row r="37" spans="1:4" ht="21" customHeight="1">
      <c r="A37" t="s">
        <v>156</v>
      </c>
      <c r="B37" t="s">
        <v>153</v>
      </c>
      <c r="C37" t="s">
        <v>154</v>
      </c>
      <c r="D37" s="8" t="s">
        <v>155</v>
      </c>
    </row>
    <row r="38" spans="1:4" ht="21" customHeight="1"/>
    <row r="41" spans="1:4">
      <c r="A41" t="s">
        <v>157</v>
      </c>
    </row>
    <row r="42" spans="1:4">
      <c r="A42" t="s">
        <v>46</v>
      </c>
      <c r="B42">
        <v>0</v>
      </c>
    </row>
    <row r="43" spans="1:4">
      <c r="A43" t="s">
        <v>158</v>
      </c>
      <c r="B43">
        <v>0</v>
      </c>
    </row>
    <row r="44" spans="1:4">
      <c r="A44" t="s">
        <v>159</v>
      </c>
      <c r="B44">
        <v>800</v>
      </c>
    </row>
    <row r="45" spans="1:4">
      <c r="A45" t="s">
        <v>160</v>
      </c>
      <c r="B45">
        <v>2500</v>
      </c>
    </row>
    <row r="47" spans="1:4">
      <c r="A47" t="s">
        <v>161</v>
      </c>
      <c r="B47" t="s">
        <v>162</v>
      </c>
      <c r="C47" t="s">
        <v>163</v>
      </c>
    </row>
    <row r="51" spans="1:2">
      <c r="A51" t="s">
        <v>164</v>
      </c>
      <c r="B51" t="s">
        <v>165</v>
      </c>
    </row>
    <row r="52" spans="1:2">
      <c r="A52" t="s">
        <v>44</v>
      </c>
      <c r="B52">
        <v>0</v>
      </c>
    </row>
    <row r="53" spans="1:2">
      <c r="A53" t="s">
        <v>166</v>
      </c>
      <c r="B53">
        <v>0</v>
      </c>
    </row>
    <row r="54" spans="1:2">
      <c r="A54" t="s">
        <v>167</v>
      </c>
      <c r="B54">
        <v>1500</v>
      </c>
    </row>
    <row r="55" spans="1:2">
      <c r="A55" t="s">
        <v>168</v>
      </c>
      <c r="B55">
        <v>0</v>
      </c>
    </row>
    <row r="56" spans="1:2">
      <c r="A56" t="s">
        <v>169</v>
      </c>
    </row>
    <row r="59" spans="1:2">
      <c r="A59" t="s">
        <v>170</v>
      </c>
    </row>
    <row r="60" spans="1:2">
      <c r="A60" t="s">
        <v>171</v>
      </c>
    </row>
    <row r="61" spans="1:2">
      <c r="A61" t="s">
        <v>134</v>
      </c>
    </row>
    <row r="64" spans="1:2">
      <c r="A64" t="s">
        <v>135</v>
      </c>
    </row>
    <row r="65" spans="1:9">
      <c r="A65" t="s">
        <v>172</v>
      </c>
      <c r="B65" t="s">
        <v>137</v>
      </c>
      <c r="C65" t="s">
        <v>138</v>
      </c>
      <c r="D65" t="s">
        <v>139</v>
      </c>
      <c r="E65" t="s">
        <v>140</v>
      </c>
      <c r="F65" t="s">
        <v>141</v>
      </c>
      <c r="G65" t="s">
        <v>142</v>
      </c>
      <c r="H65" t="s">
        <v>143</v>
      </c>
      <c r="I65" t="s">
        <v>144</v>
      </c>
    </row>
    <row r="71" spans="1:9">
      <c r="A71" t="s">
        <v>173</v>
      </c>
      <c r="B71" t="s">
        <v>165</v>
      </c>
    </row>
    <row r="72" spans="1:9">
      <c r="A72" t="s">
        <v>51</v>
      </c>
      <c r="B72">
        <v>0</v>
      </c>
    </row>
    <row r="73" spans="1:9">
      <c r="A73" t="s">
        <v>174</v>
      </c>
      <c r="B73">
        <v>490</v>
      </c>
    </row>
    <row r="78" spans="1:9">
      <c r="A78" t="s">
        <v>175</v>
      </c>
    </row>
    <row r="79" spans="1:9">
      <c r="A79" t="s">
        <v>54</v>
      </c>
      <c r="B79">
        <v>0</v>
      </c>
    </row>
    <row r="84" spans="1:6">
      <c r="A84" t="s">
        <v>176</v>
      </c>
      <c r="B84" t="s">
        <v>177</v>
      </c>
      <c r="C84" t="s">
        <v>44</v>
      </c>
      <c r="E84" t="s">
        <v>44</v>
      </c>
      <c r="F84">
        <v>0</v>
      </c>
    </row>
    <row r="85" spans="1:6">
      <c r="C85" t="s">
        <v>178</v>
      </c>
      <c r="D85">
        <v>1</v>
      </c>
      <c r="E85" t="s">
        <v>179</v>
      </c>
      <c r="F85">
        <v>840</v>
      </c>
    </row>
    <row r="86" spans="1:6">
      <c r="C86" t="s">
        <v>178</v>
      </c>
      <c r="D86">
        <v>2</v>
      </c>
      <c r="E86" t="s">
        <v>180</v>
      </c>
      <c r="F86">
        <v>1700</v>
      </c>
    </row>
    <row r="87" spans="1:6">
      <c r="C87" t="s">
        <v>181</v>
      </c>
      <c r="D87">
        <v>1</v>
      </c>
      <c r="E87" t="s">
        <v>182</v>
      </c>
      <c r="F87">
        <v>840</v>
      </c>
    </row>
    <row r="88" spans="1:6">
      <c r="C88" t="s">
        <v>181</v>
      </c>
      <c r="D88">
        <v>2</v>
      </c>
      <c r="E88" t="s">
        <v>183</v>
      </c>
      <c r="F88">
        <v>1700</v>
      </c>
    </row>
    <row r="90" spans="1:6">
      <c r="B90" t="s">
        <v>184</v>
      </c>
      <c r="E90" t="s">
        <v>44</v>
      </c>
      <c r="F90">
        <v>0</v>
      </c>
    </row>
    <row r="91" spans="1:6">
      <c r="E91" t="s">
        <v>179</v>
      </c>
      <c r="F91">
        <v>300</v>
      </c>
    </row>
    <row r="92" spans="1:6">
      <c r="E92" t="s">
        <v>180</v>
      </c>
      <c r="F92">
        <v>600</v>
      </c>
    </row>
    <row r="93" spans="1:6">
      <c r="E93" t="s">
        <v>182</v>
      </c>
      <c r="F93">
        <v>300</v>
      </c>
    </row>
    <row r="94" spans="1:6">
      <c r="E94" t="s">
        <v>183</v>
      </c>
      <c r="F94">
        <v>600</v>
      </c>
    </row>
    <row r="96" spans="1:6">
      <c r="B96" t="s">
        <v>185</v>
      </c>
      <c r="E96" t="s">
        <v>44</v>
      </c>
      <c r="F96">
        <v>0</v>
      </c>
    </row>
    <row r="97" spans="1:6">
      <c r="E97" t="s">
        <v>182</v>
      </c>
      <c r="F97">
        <v>500</v>
      </c>
    </row>
    <row r="98" spans="1:6">
      <c r="E98" t="s">
        <v>183</v>
      </c>
      <c r="F98">
        <v>1000</v>
      </c>
    </row>
    <row r="100" spans="1:6">
      <c r="B100" t="s">
        <v>186</v>
      </c>
      <c r="E100" t="s">
        <v>44</v>
      </c>
      <c r="F100">
        <v>0</v>
      </c>
    </row>
    <row r="101" spans="1:6">
      <c r="E101" t="s">
        <v>182</v>
      </c>
      <c r="F101">
        <v>500</v>
      </c>
    </row>
    <row r="102" spans="1:6">
      <c r="E102" t="s">
        <v>183</v>
      </c>
      <c r="F102">
        <v>1000</v>
      </c>
    </row>
    <row r="104" spans="1:6">
      <c r="B104" t="s">
        <v>187</v>
      </c>
      <c r="E104" t="s">
        <v>188</v>
      </c>
      <c r="F104">
        <v>0</v>
      </c>
    </row>
    <row r="105" spans="1:6">
      <c r="E105" t="s">
        <v>189</v>
      </c>
      <c r="F105">
        <v>300</v>
      </c>
    </row>
    <row r="106" spans="1:6">
      <c r="E106" t="s">
        <v>182</v>
      </c>
      <c r="F106">
        <v>0</v>
      </c>
    </row>
    <row r="107" spans="1:6">
      <c r="E107" t="s">
        <v>183</v>
      </c>
      <c r="F107">
        <v>300</v>
      </c>
    </row>
    <row r="109" spans="1:6">
      <c r="B109" t="s">
        <v>190</v>
      </c>
      <c r="E109" t="s">
        <v>44</v>
      </c>
      <c r="F109">
        <v>0</v>
      </c>
    </row>
    <row r="110" spans="1:6">
      <c r="E110" t="s">
        <v>179</v>
      </c>
      <c r="F110">
        <v>600</v>
      </c>
    </row>
    <row r="111" spans="1:6">
      <c r="A111" t="s">
        <v>55</v>
      </c>
      <c r="E111" t="s">
        <v>180</v>
      </c>
      <c r="F111">
        <v>1200</v>
      </c>
    </row>
    <row r="112" spans="1:6">
      <c r="A112">
        <v>1</v>
      </c>
      <c r="B112">
        <v>0</v>
      </c>
    </row>
    <row r="113" spans="1:5">
      <c r="A113">
        <v>2</v>
      </c>
      <c r="B113">
        <v>2400</v>
      </c>
    </row>
    <row r="115" spans="1:5">
      <c r="A115" t="s">
        <v>191</v>
      </c>
    </row>
    <row r="116" spans="1:5">
      <c r="A116" t="s">
        <v>192</v>
      </c>
    </row>
    <row r="117" spans="1:5">
      <c r="A117" t="s">
        <v>39</v>
      </c>
      <c r="B117">
        <v>0</v>
      </c>
    </row>
    <row r="118" spans="1:5">
      <c r="A118" t="s">
        <v>131</v>
      </c>
      <c r="B118">
        <v>500</v>
      </c>
    </row>
    <row r="122" spans="1:5">
      <c r="D122" t="s">
        <v>62</v>
      </c>
      <c r="E122">
        <v>0</v>
      </c>
    </row>
    <row r="123" spans="1:5">
      <c r="D123" t="s">
        <v>193</v>
      </c>
      <c r="E123">
        <v>500</v>
      </c>
    </row>
    <row r="124" spans="1:5">
      <c r="D124" t="s">
        <v>194</v>
      </c>
      <c r="E124">
        <v>500</v>
      </c>
    </row>
    <row r="125" spans="1:5">
      <c r="D125" t="s">
        <v>195</v>
      </c>
      <c r="E125">
        <v>500</v>
      </c>
    </row>
    <row r="126" spans="1:5">
      <c r="D126" t="s">
        <v>196</v>
      </c>
      <c r="E126">
        <v>500</v>
      </c>
    </row>
    <row r="127" spans="1:5">
      <c r="D127" t="s">
        <v>197</v>
      </c>
      <c r="E127">
        <v>500</v>
      </c>
    </row>
    <row r="128" spans="1:5">
      <c r="D128" t="s">
        <v>198</v>
      </c>
      <c r="E128">
        <v>500</v>
      </c>
    </row>
    <row r="129" spans="1:5">
      <c r="A129" t="s">
        <v>199</v>
      </c>
      <c r="D129" t="s">
        <v>200</v>
      </c>
      <c r="E129">
        <v>500</v>
      </c>
    </row>
    <row r="130" spans="1:5">
      <c r="A130" t="s">
        <v>77</v>
      </c>
    </row>
    <row r="131" spans="1:5">
      <c r="A131" t="s">
        <v>201</v>
      </c>
    </row>
    <row r="132" spans="1:5">
      <c r="A132" t="s">
        <v>202</v>
      </c>
    </row>
    <row r="136" spans="1:5">
      <c r="A136" t="s">
        <v>201</v>
      </c>
      <c r="B136">
        <v>1</v>
      </c>
      <c r="C136">
        <v>2</v>
      </c>
      <c r="D136">
        <v>3</v>
      </c>
      <c r="E136">
        <v>4</v>
      </c>
    </row>
    <row r="137" spans="1:5">
      <c r="A137" t="s">
        <v>202</v>
      </c>
      <c r="B137">
        <v>1</v>
      </c>
      <c r="C137">
        <v>2</v>
      </c>
      <c r="D137">
        <v>3</v>
      </c>
      <c r="E137">
        <v>4</v>
      </c>
    </row>
    <row r="140" spans="1:5">
      <c r="A140" t="s">
        <v>203</v>
      </c>
    </row>
    <row r="141" spans="1:5">
      <c r="A141">
        <v>1</v>
      </c>
    </row>
    <row r="142" spans="1:5">
      <c r="A142">
        <v>2</v>
      </c>
    </row>
    <row r="143" spans="1:5">
      <c r="A143">
        <v>3</v>
      </c>
    </row>
    <row r="146" spans="1:1">
      <c r="A146" t="s">
        <v>204</v>
      </c>
    </row>
    <row r="147" spans="1:1">
      <c r="A147" t="s">
        <v>77</v>
      </c>
    </row>
    <row r="148" spans="1:1">
      <c r="A148">
        <v>1</v>
      </c>
    </row>
    <row r="149" spans="1:1">
      <c r="A149">
        <v>2</v>
      </c>
    </row>
    <row r="150" spans="1:1">
      <c r="A150">
        <v>3</v>
      </c>
    </row>
    <row r="151" spans="1:1">
      <c r="A151">
        <v>4</v>
      </c>
    </row>
    <row r="154" spans="1:1">
      <c r="A154" t="s">
        <v>205</v>
      </c>
    </row>
    <row r="155" spans="1:1">
      <c r="A155" t="s">
        <v>77</v>
      </c>
    </row>
    <row r="156" spans="1:1">
      <c r="A156">
        <v>1</v>
      </c>
    </row>
    <row r="157" spans="1:1">
      <c r="A157">
        <v>2</v>
      </c>
    </row>
    <row r="161" spans="1:7">
      <c r="A161" t="s">
        <v>206</v>
      </c>
      <c r="B161" t="s">
        <v>207</v>
      </c>
      <c r="C161" t="s">
        <v>206</v>
      </c>
      <c r="D161" t="s">
        <v>208</v>
      </c>
      <c r="F161" t="s">
        <v>209</v>
      </c>
      <c r="G161" t="s">
        <v>210</v>
      </c>
    </row>
    <row r="162" spans="1:7">
      <c r="A162" t="s">
        <v>77</v>
      </c>
      <c r="B162" t="s">
        <v>211</v>
      </c>
      <c r="C162">
        <v>1</v>
      </c>
      <c r="D162" t="s">
        <v>201</v>
      </c>
      <c r="F162" t="s">
        <v>212</v>
      </c>
      <c r="G162" t="s">
        <v>213</v>
      </c>
    </row>
    <row r="163" spans="1:7">
      <c r="A163" t="s">
        <v>212</v>
      </c>
      <c r="B163" t="s">
        <v>214</v>
      </c>
      <c r="C163">
        <v>2</v>
      </c>
      <c r="D163" t="s">
        <v>202</v>
      </c>
      <c r="F163" t="s">
        <v>77</v>
      </c>
      <c r="G163" t="s">
        <v>211</v>
      </c>
    </row>
    <row r="164" spans="1:7">
      <c r="B164" t="s">
        <v>215</v>
      </c>
      <c r="C164" t="s">
        <v>216</v>
      </c>
      <c r="G164" t="s">
        <v>214</v>
      </c>
    </row>
    <row r="165" spans="1:7">
      <c r="B165" t="s">
        <v>217</v>
      </c>
      <c r="G165" t="s">
        <v>215</v>
      </c>
    </row>
    <row r="166" spans="1:7">
      <c r="B166" t="s">
        <v>218</v>
      </c>
      <c r="G166" t="s">
        <v>217</v>
      </c>
    </row>
    <row r="167" spans="1:7">
      <c r="B167" t="s">
        <v>219</v>
      </c>
      <c r="G167" t="s">
        <v>218</v>
      </c>
    </row>
    <row r="168" spans="1:7">
      <c r="G168" t="s">
        <v>219</v>
      </c>
    </row>
    <row r="171" spans="1:7">
      <c r="A171" t="s">
        <v>220</v>
      </c>
      <c r="B171" t="s">
        <v>221</v>
      </c>
      <c r="D171" t="s">
        <v>222</v>
      </c>
      <c r="E171" t="s">
        <v>223</v>
      </c>
      <c r="F171" t="s">
        <v>224</v>
      </c>
    </row>
    <row r="172" spans="1:7">
      <c r="B172" t="s">
        <v>77</v>
      </c>
      <c r="C172" s="14">
        <v>0</v>
      </c>
    </row>
    <row r="173" spans="1:7">
      <c r="B173" t="s">
        <v>225</v>
      </c>
      <c r="C173" s="14">
        <v>0</v>
      </c>
    </row>
    <row r="174" spans="1:7">
      <c r="B174" t="s">
        <v>226</v>
      </c>
      <c r="C174" s="15">
        <v>6000</v>
      </c>
    </row>
    <row r="175" spans="1:7">
      <c r="B175" t="s">
        <v>227</v>
      </c>
      <c r="C175">
        <v>28000</v>
      </c>
    </row>
    <row r="177" spans="1:4">
      <c r="A177" t="s">
        <v>228</v>
      </c>
      <c r="B177" t="s">
        <v>89</v>
      </c>
      <c r="C177" t="s">
        <v>229</v>
      </c>
    </row>
    <row r="178" spans="1:4">
      <c r="A178" t="s">
        <v>85</v>
      </c>
      <c r="B178" t="s">
        <v>230</v>
      </c>
      <c r="C178" t="s">
        <v>231</v>
      </c>
      <c r="D178">
        <v>0</v>
      </c>
    </row>
    <row r="179" spans="1:4">
      <c r="A179" t="s">
        <v>232</v>
      </c>
      <c r="B179" t="s">
        <v>233</v>
      </c>
      <c r="C179" t="s">
        <v>234</v>
      </c>
      <c r="D179">
        <v>0</v>
      </c>
    </row>
    <row r="180" spans="1:4">
      <c r="C180" t="s">
        <v>235</v>
      </c>
      <c r="D180">
        <v>500</v>
      </c>
    </row>
    <row r="185" spans="1:4">
      <c r="A185" t="s">
        <v>236</v>
      </c>
    </row>
    <row r="186" spans="1:4">
      <c r="A186" t="s">
        <v>44</v>
      </c>
      <c r="B186">
        <v>0</v>
      </c>
    </row>
    <row r="187" spans="1:4">
      <c r="A187" t="s">
        <v>212</v>
      </c>
      <c r="B187">
        <v>200</v>
      </c>
    </row>
    <row r="190" spans="1:4">
      <c r="A190" t="s">
        <v>237</v>
      </c>
    </row>
    <row r="191" spans="1:4">
      <c r="A191" t="s">
        <v>238</v>
      </c>
    </row>
    <row r="192" spans="1:4">
      <c r="A192" t="s">
        <v>98</v>
      </c>
    </row>
    <row r="193" spans="1:1">
      <c r="A193" t="s">
        <v>239</v>
      </c>
    </row>
    <row r="194" spans="1:1">
      <c r="A194" t="s">
        <v>195</v>
      </c>
    </row>
    <row r="195" spans="1:1">
      <c r="A195" t="s">
        <v>240</v>
      </c>
    </row>
    <row r="196" spans="1:1">
      <c r="A196" t="s">
        <v>241</v>
      </c>
    </row>
    <row r="200" spans="1:1">
      <c r="A200" t="s">
        <v>242</v>
      </c>
    </row>
    <row r="201" spans="1:1">
      <c r="A201" t="s">
        <v>243</v>
      </c>
    </row>
    <row r="202" spans="1:1">
      <c r="A202" t="s">
        <v>98</v>
      </c>
    </row>
    <row r="203" spans="1:1">
      <c r="A203" t="s">
        <v>239</v>
      </c>
    </row>
    <row r="204" spans="1:1">
      <c r="A204" t="s">
        <v>195</v>
      </c>
    </row>
    <row r="205" spans="1:1">
      <c r="A205" t="s">
        <v>240</v>
      </c>
    </row>
    <row r="206" spans="1:1">
      <c r="A206" t="s">
        <v>241</v>
      </c>
    </row>
    <row r="210" spans="1:2">
      <c r="A210" t="s">
        <v>244</v>
      </c>
    </row>
    <row r="211" spans="1:2">
      <c r="A211" t="s">
        <v>94</v>
      </c>
      <c r="B211">
        <v>0</v>
      </c>
    </row>
    <row r="212" spans="1:2">
      <c r="A212" t="s">
        <v>245</v>
      </c>
      <c r="B212">
        <v>5000</v>
      </c>
    </row>
    <row r="213" spans="1:2">
      <c r="A213" t="s">
        <v>246</v>
      </c>
      <c r="B213">
        <v>5000</v>
      </c>
    </row>
    <row r="214" spans="1:2">
      <c r="A214" t="s">
        <v>247</v>
      </c>
      <c r="B214">
        <v>5000</v>
      </c>
    </row>
    <row r="215" spans="1:2">
      <c r="A215" t="s">
        <v>248</v>
      </c>
      <c r="B215">
        <v>5000</v>
      </c>
    </row>
    <row r="216" spans="1:2">
      <c r="A216" t="s">
        <v>249</v>
      </c>
      <c r="B216">
        <v>5000</v>
      </c>
    </row>
    <row r="217" spans="1:2">
      <c r="A217" t="s">
        <v>250</v>
      </c>
      <c r="B217">
        <v>5000</v>
      </c>
    </row>
    <row r="218" spans="1:2">
      <c r="A218" t="s">
        <v>251</v>
      </c>
      <c r="B218">
        <v>5000</v>
      </c>
    </row>
    <row r="219" spans="1:2">
      <c r="A219" t="s">
        <v>252</v>
      </c>
      <c r="B219">
        <v>5000</v>
      </c>
    </row>
    <row r="222" spans="1:2">
      <c r="A222" t="s">
        <v>229</v>
      </c>
    </row>
    <row r="223" spans="1:2" ht="90" customHeight="1"/>
    <row r="224" spans="1:2" ht="90" customHeight="1"/>
    <row r="225" spans="1:2" ht="90" customHeight="1"/>
    <row r="228" spans="1:2">
      <c r="A228" t="s">
        <v>253</v>
      </c>
    </row>
    <row r="229" spans="1:2">
      <c r="A229" t="s">
        <v>254</v>
      </c>
      <c r="B229">
        <v>0</v>
      </c>
    </row>
    <row r="230" spans="1:2">
      <c r="A230" t="s">
        <v>255</v>
      </c>
      <c r="B230">
        <v>10000</v>
      </c>
    </row>
    <row r="231" spans="1:2">
      <c r="A231" t="s">
        <v>96</v>
      </c>
      <c r="B231">
        <v>0</v>
      </c>
    </row>
    <row r="232" spans="1:2">
      <c r="A232" t="s">
        <v>256</v>
      </c>
      <c r="B232">
        <v>10000</v>
      </c>
    </row>
    <row r="233" spans="1:2">
      <c r="A233" t="s">
        <v>257</v>
      </c>
      <c r="B233">
        <v>10000</v>
      </c>
    </row>
    <row r="234" spans="1:2">
      <c r="A234" t="s">
        <v>249</v>
      </c>
    </row>
    <row r="238" spans="1:2" ht="17.5">
      <c r="A238" s="11" t="s">
        <v>258</v>
      </c>
    </row>
    <row r="239" spans="1:2" ht="17.5">
      <c r="A239" s="11" t="s">
        <v>102</v>
      </c>
      <c r="B239">
        <v>0</v>
      </c>
    </row>
    <row r="240" spans="1:2" ht="17.5">
      <c r="A240" s="11"/>
    </row>
    <row r="241" spans="1:1" ht="17.5">
      <c r="A241" s="11"/>
    </row>
    <row r="242" spans="1:1">
      <c r="A242" s="16">
        <f ca="1">NOW()</f>
        <v>46161.58612777778</v>
      </c>
    </row>
    <row r="247" spans="1:1">
      <c r="A247" t="s">
        <v>259</v>
      </c>
    </row>
    <row r="248" spans="1:1">
      <c r="A248" t="s">
        <v>3</v>
      </c>
    </row>
    <row r="249" spans="1:1">
      <c r="A249" t="s">
        <v>260</v>
      </c>
    </row>
    <row r="250" spans="1:1">
      <c r="A250" t="s">
        <v>261</v>
      </c>
    </row>
    <row r="251" spans="1:1">
      <c r="A251" t="s">
        <v>262</v>
      </c>
    </row>
    <row r="252" spans="1:1">
      <c r="A252" t="s">
        <v>263</v>
      </c>
    </row>
    <row r="253" spans="1:1">
      <c r="A253" t="s">
        <v>264</v>
      </c>
    </row>
    <row r="254" spans="1:1">
      <c r="A254" t="s">
        <v>265</v>
      </c>
    </row>
    <row r="255" spans="1:1">
      <c r="A255" t="s">
        <v>266</v>
      </c>
    </row>
    <row r="256" spans="1:1">
      <c r="A256" t="s">
        <v>267</v>
      </c>
    </row>
    <row r="257" spans="1:3">
      <c r="A257" t="s">
        <v>268</v>
      </c>
    </row>
    <row r="261" spans="1:3">
      <c r="A261" t="s">
        <v>253</v>
      </c>
    </row>
    <row r="262" spans="1:3">
      <c r="A262" t="s">
        <v>269</v>
      </c>
      <c r="B262">
        <v>0</v>
      </c>
      <c r="C262">
        <v>0</v>
      </c>
    </row>
    <row r="263" spans="1:3">
      <c r="A263" t="s">
        <v>270</v>
      </c>
      <c r="B263">
        <v>5000</v>
      </c>
      <c r="C263">
        <v>0</v>
      </c>
    </row>
    <row r="264" spans="1:3">
      <c r="A264" t="s">
        <v>254</v>
      </c>
      <c r="B264">
        <v>5000</v>
      </c>
      <c r="C264">
        <v>0</v>
      </c>
    </row>
    <row r="265" spans="1:3">
      <c r="A265" t="s">
        <v>257</v>
      </c>
      <c r="B265">
        <v>10000</v>
      </c>
      <c r="C265">
        <v>5000</v>
      </c>
    </row>
    <row r="266" spans="1:3">
      <c r="A266" t="s">
        <v>255</v>
      </c>
      <c r="B266">
        <v>10000</v>
      </c>
      <c r="C266">
        <v>5000</v>
      </c>
    </row>
    <row r="267" spans="1:3">
      <c r="A267" t="s">
        <v>256</v>
      </c>
      <c r="B267">
        <v>10000</v>
      </c>
      <c r="C267">
        <v>5000</v>
      </c>
    </row>
    <row r="268" spans="1:3">
      <c r="A268" t="s">
        <v>271</v>
      </c>
      <c r="B268">
        <v>0</v>
      </c>
      <c r="C268">
        <v>0</v>
      </c>
    </row>
    <row r="269" spans="1:3">
      <c r="A269" t="s">
        <v>272</v>
      </c>
    </row>
    <row r="270" spans="1:3">
      <c r="A270" t="s">
        <v>44</v>
      </c>
      <c r="B270">
        <v>0</v>
      </c>
    </row>
    <row r="271" spans="1:3">
      <c r="A271" t="s">
        <v>212</v>
      </c>
      <c r="B271">
        <v>300</v>
      </c>
    </row>
    <row r="276" spans="1:3">
      <c r="A276" t="s">
        <v>273</v>
      </c>
      <c r="B276" t="s">
        <v>274</v>
      </c>
    </row>
    <row r="277" spans="1:3">
      <c r="A277" t="s">
        <v>275</v>
      </c>
      <c r="B277" t="s">
        <v>275</v>
      </c>
    </row>
    <row r="278" spans="1:3">
      <c r="A278" t="s">
        <v>249</v>
      </c>
      <c r="B278" t="s">
        <v>249</v>
      </c>
    </row>
    <row r="286" spans="1:3">
      <c r="A286" t="s">
        <v>203</v>
      </c>
    </row>
    <row r="287" spans="1:3">
      <c r="A287">
        <v>1</v>
      </c>
      <c r="B287">
        <v>1</v>
      </c>
      <c r="C287">
        <v>1</v>
      </c>
    </row>
    <row r="288" spans="1:3">
      <c r="A288">
        <v>2</v>
      </c>
      <c r="B288">
        <v>2</v>
      </c>
      <c r="C288">
        <v>2</v>
      </c>
    </row>
    <row r="289" spans="1:3">
      <c r="A289">
        <v>3</v>
      </c>
      <c r="B289">
        <v>3</v>
      </c>
      <c r="C289">
        <v>3</v>
      </c>
    </row>
    <row r="290" spans="1:3">
      <c r="A290">
        <v>4</v>
      </c>
      <c r="B290">
        <v>4</v>
      </c>
      <c r="C290">
        <v>4</v>
      </c>
    </row>
    <row r="295" spans="1:3">
      <c r="A295" t="s">
        <v>276</v>
      </c>
    </row>
    <row r="296" spans="1:3">
      <c r="A296" t="s">
        <v>277</v>
      </c>
    </row>
    <row r="297" spans="1:3">
      <c r="A297" t="s">
        <v>278</v>
      </c>
    </row>
    <row r="301" spans="1:3">
      <c r="A301" t="s">
        <v>92</v>
      </c>
    </row>
    <row r="302" spans="1:3">
      <c r="A302" t="s">
        <v>39</v>
      </c>
      <c r="B302">
        <v>0</v>
      </c>
    </row>
    <row r="303" spans="1:3">
      <c r="A303" t="s">
        <v>279</v>
      </c>
      <c r="B303">
        <v>1000</v>
      </c>
    </row>
    <row r="304" spans="1:3">
      <c r="A304" t="s">
        <v>280</v>
      </c>
      <c r="B304">
        <v>2000</v>
      </c>
    </row>
    <row r="336" spans="1:2">
      <c r="A336" t="s">
        <v>281</v>
      </c>
      <c r="B336" t="s">
        <v>282</v>
      </c>
    </row>
    <row r="337" spans="1:2">
      <c r="A337" t="s">
        <v>283</v>
      </c>
      <c r="B337" t="s">
        <v>284</v>
      </c>
    </row>
    <row r="338" spans="1:2">
      <c r="A338" t="s">
        <v>285</v>
      </c>
      <c r="B338" t="s">
        <v>286</v>
      </c>
    </row>
    <row r="339" spans="1:2">
      <c r="A339" t="s">
        <v>287</v>
      </c>
    </row>
    <row r="340" spans="1:2">
      <c r="A340" t="s">
        <v>288</v>
      </c>
    </row>
    <row r="341" spans="1:2">
      <c r="A341" t="s">
        <v>289</v>
      </c>
    </row>
    <row r="342" spans="1:2">
      <c r="A342" t="s">
        <v>290</v>
      </c>
    </row>
    <row r="343" spans="1:2">
      <c r="A343" t="s">
        <v>291</v>
      </c>
    </row>
    <row r="344" spans="1:2">
      <c r="A344" t="s">
        <v>292</v>
      </c>
    </row>
    <row r="345" spans="1:2">
      <c r="A345" t="s">
        <v>293</v>
      </c>
    </row>
    <row r="346" spans="1:2">
      <c r="A346" t="s">
        <v>294</v>
      </c>
    </row>
    <row r="347" spans="1:2">
      <c r="A347" t="s">
        <v>295</v>
      </c>
    </row>
    <row r="348" spans="1:2">
      <c r="A348" t="s">
        <v>296</v>
      </c>
    </row>
    <row r="349" spans="1:2">
      <c r="A349" t="s">
        <v>297</v>
      </c>
    </row>
    <row r="350" spans="1:2">
      <c r="A350" t="s">
        <v>298</v>
      </c>
    </row>
    <row r="351" spans="1:2">
      <c r="A351" t="s">
        <v>299</v>
      </c>
    </row>
    <row r="352" spans="1:2">
      <c r="A352" t="s">
        <v>300</v>
      </c>
    </row>
    <row r="353" spans="1:1">
      <c r="A353" t="s">
        <v>301</v>
      </c>
    </row>
    <row r="354" spans="1:1">
      <c r="A354" t="s">
        <v>302</v>
      </c>
    </row>
    <row r="355" spans="1:1">
      <c r="A355" t="s">
        <v>303</v>
      </c>
    </row>
    <row r="356" spans="1:1">
      <c r="A356" t="s">
        <v>304</v>
      </c>
    </row>
    <row r="357" spans="1:1">
      <c r="A357" t="s">
        <v>305</v>
      </c>
    </row>
    <row r="358" spans="1:1">
      <c r="A358" t="s">
        <v>306</v>
      </c>
    </row>
    <row r="359" spans="1:1">
      <c r="A359" t="s">
        <v>307</v>
      </c>
    </row>
    <row r="360" spans="1:1">
      <c r="A360" t="s">
        <v>308</v>
      </c>
    </row>
    <row r="361" spans="1:1">
      <c r="A361" t="s">
        <v>309</v>
      </c>
    </row>
    <row r="362" spans="1:1">
      <c r="A362" t="s">
        <v>310</v>
      </c>
    </row>
    <row r="363" spans="1:1">
      <c r="A363" t="s">
        <v>311</v>
      </c>
    </row>
    <row r="364" spans="1:1">
      <c r="A364" t="s">
        <v>312</v>
      </c>
    </row>
    <row r="365" spans="1:1">
      <c r="A365" t="s">
        <v>313</v>
      </c>
    </row>
    <row r="366" spans="1:1">
      <c r="A366" t="s">
        <v>314</v>
      </c>
    </row>
    <row r="367" spans="1:1">
      <c r="A367" t="s">
        <v>315</v>
      </c>
    </row>
    <row r="368" spans="1:1">
      <c r="A368" t="s">
        <v>316</v>
      </c>
    </row>
    <row r="369" spans="1:2">
      <c r="A369" t="s">
        <v>317</v>
      </c>
    </row>
    <row r="370" spans="1:2">
      <c r="A370" t="s">
        <v>318</v>
      </c>
    </row>
    <row r="371" spans="1:2">
      <c r="A371" t="s">
        <v>319</v>
      </c>
    </row>
    <row r="372" spans="1:2">
      <c r="A372" t="s">
        <v>320</v>
      </c>
    </row>
    <row r="379" spans="1:2">
      <c r="A379">
        <v>0</v>
      </c>
      <c r="B379">
        <v>0</v>
      </c>
    </row>
    <row r="380" spans="1:2">
      <c r="A380">
        <v>1</v>
      </c>
      <c r="B380">
        <f>A380*840-840</f>
        <v>0</v>
      </c>
    </row>
    <row r="381" spans="1:2">
      <c r="A381">
        <v>2</v>
      </c>
      <c r="B381">
        <f>A381*840-840</f>
        <v>840</v>
      </c>
    </row>
    <row r="382" spans="1:2">
      <c r="A382">
        <v>3</v>
      </c>
      <c r="B382">
        <f t="shared" ref="B382:B393" si="0">A382*840-840</f>
        <v>1680</v>
      </c>
    </row>
    <row r="383" spans="1:2">
      <c r="A383">
        <v>4</v>
      </c>
      <c r="B383">
        <f t="shared" si="0"/>
        <v>2520</v>
      </c>
    </row>
    <row r="384" spans="1:2">
      <c r="A384">
        <v>5</v>
      </c>
      <c r="B384">
        <f t="shared" si="0"/>
        <v>3360</v>
      </c>
    </row>
    <row r="385" spans="1:2">
      <c r="A385">
        <v>6</v>
      </c>
      <c r="B385">
        <f t="shared" si="0"/>
        <v>4200</v>
      </c>
    </row>
    <row r="386" spans="1:2">
      <c r="A386">
        <v>7</v>
      </c>
      <c r="B386">
        <f t="shared" si="0"/>
        <v>5040</v>
      </c>
    </row>
    <row r="387" spans="1:2">
      <c r="A387">
        <v>8</v>
      </c>
      <c r="B387">
        <f t="shared" si="0"/>
        <v>5880</v>
      </c>
    </row>
    <row r="388" spans="1:2">
      <c r="A388">
        <v>9</v>
      </c>
      <c r="B388">
        <f t="shared" si="0"/>
        <v>6720</v>
      </c>
    </row>
    <row r="389" spans="1:2">
      <c r="A389">
        <v>10</v>
      </c>
      <c r="B389">
        <f t="shared" si="0"/>
        <v>7560</v>
      </c>
    </row>
    <row r="390" spans="1:2">
      <c r="A390">
        <v>11</v>
      </c>
      <c r="B390">
        <f t="shared" si="0"/>
        <v>8400</v>
      </c>
    </row>
    <row r="391" spans="1:2">
      <c r="A391">
        <v>12</v>
      </c>
      <c r="B391">
        <f t="shared" si="0"/>
        <v>9240</v>
      </c>
    </row>
    <row r="392" spans="1:2">
      <c r="A392">
        <v>13</v>
      </c>
      <c r="B392">
        <f t="shared" si="0"/>
        <v>10080</v>
      </c>
    </row>
    <row r="393" spans="1:2">
      <c r="A393">
        <v>14</v>
      </c>
      <c r="B393">
        <f t="shared" si="0"/>
        <v>10920</v>
      </c>
    </row>
    <row r="398" spans="1:2">
      <c r="A398" t="s">
        <v>321</v>
      </c>
    </row>
    <row r="399" spans="1:2">
      <c r="A399" t="s">
        <v>322</v>
      </c>
    </row>
    <row r="400" spans="1:2">
      <c r="A400" t="s">
        <v>323</v>
      </c>
    </row>
    <row r="401" spans="1:1">
      <c r="A401" t="s">
        <v>249</v>
      </c>
    </row>
  </sheetData>
  <sheetProtection algorithmName="SHA-512" hashValue="5Xv3czcCZVmw4zd6gHfWUCQtT7/PE+SG6zMBXvjR6VOmEMQuEU6rTX6YNDIJrGXpSvxgLK912PQNwNA0VS0M+Q==" saltValue="zUuPZbpmmhvVFVB9A9+Kow==" spinCount="100000" sheet="1" objects="1" selectLockedCells="1" selectUnlockedCells="1"/>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99"/>
  <sheetViews>
    <sheetView workbookViewId="0">
      <selection activeCell="P42" sqref="P42"/>
    </sheetView>
  </sheetViews>
  <sheetFormatPr defaultColWidth="9" defaultRowHeight="14.5"/>
  <cols>
    <col min="1" max="1" width="12.81640625" customWidth="1"/>
    <col min="15" max="15" width="13.08984375" customWidth="1"/>
    <col min="16" max="16" width="20.1796875" customWidth="1"/>
    <col min="18" max="18" width="21" customWidth="1"/>
    <col min="23" max="23" width="23.1796875" customWidth="1"/>
  </cols>
  <sheetData>
    <row r="1" spans="1:28">
      <c r="A1" s="1" t="s">
        <v>324</v>
      </c>
      <c r="B1" t="s">
        <v>325</v>
      </c>
      <c r="O1" s="2" t="s">
        <v>326</v>
      </c>
      <c r="P1" s="3" t="s">
        <v>327</v>
      </c>
      <c r="R1" t="s">
        <v>328</v>
      </c>
      <c r="S1" t="s">
        <v>329</v>
      </c>
      <c r="T1" t="s">
        <v>330</v>
      </c>
      <c r="U1" t="s">
        <v>331</v>
      </c>
      <c r="V1" t="str">
        <f t="shared" ref="V1:V57" si="0">S1&amp;U1&amp;T1</f>
        <v>D2:R2</v>
      </c>
      <c r="W1" t="s">
        <v>3</v>
      </c>
      <c r="X1" t="s">
        <v>332</v>
      </c>
      <c r="Y1" t="s">
        <v>333</v>
      </c>
      <c r="Z1" t="s">
        <v>334</v>
      </c>
      <c r="AA1" t="s">
        <v>335</v>
      </c>
      <c r="AB1" t="str">
        <f t="shared" ref="AB1:AB57" si="1">Y1&amp;V1&amp;Z1&amp;X1&amp;AA1</f>
        <v>Range("D2:R2").Value = ThisWorkbook.Sheets("Data Source").Range("W1").Value</v>
      </c>
    </row>
    <row r="2" spans="1:28" ht="28">
      <c r="A2" s="1"/>
      <c r="B2" t="s">
        <v>336</v>
      </c>
      <c r="O2" s="3"/>
      <c r="P2" s="3" t="s">
        <v>337</v>
      </c>
      <c r="R2" t="s">
        <v>338</v>
      </c>
      <c r="S2" t="s">
        <v>339</v>
      </c>
      <c r="T2" t="s">
        <v>340</v>
      </c>
      <c r="U2" t="s">
        <v>331</v>
      </c>
      <c r="V2" t="str">
        <f t="shared" si="0"/>
        <v>Z2:AJ2</v>
      </c>
      <c r="X2" t="s">
        <v>341</v>
      </c>
      <c r="Y2" t="s">
        <v>333</v>
      </c>
      <c r="Z2" t="s">
        <v>334</v>
      </c>
      <c r="AA2" t="s">
        <v>335</v>
      </c>
      <c r="AB2" t="str">
        <f t="shared" si="1"/>
        <v>Range("Z2:AJ2").Value = ThisWorkbook.Sheets("Data Source").Range("W2").Value</v>
      </c>
    </row>
    <row r="3" spans="1:28">
      <c r="A3" s="1"/>
      <c r="B3" t="s">
        <v>342</v>
      </c>
      <c r="O3" s="3"/>
      <c r="R3" t="s">
        <v>343</v>
      </c>
      <c r="S3" t="s">
        <v>344</v>
      </c>
      <c r="T3" t="s">
        <v>345</v>
      </c>
      <c r="U3" t="s">
        <v>331</v>
      </c>
      <c r="V3" t="str">
        <f t="shared" si="0"/>
        <v>D3:R3</v>
      </c>
      <c r="X3" t="s">
        <v>346</v>
      </c>
      <c r="Y3" t="s">
        <v>333</v>
      </c>
      <c r="Z3" t="s">
        <v>334</v>
      </c>
      <c r="AA3" t="s">
        <v>335</v>
      </c>
      <c r="AB3" t="str">
        <f t="shared" si="1"/>
        <v>Range("D3:R3").Value = ThisWorkbook.Sheets("Data Source").Range("W3").Value</v>
      </c>
    </row>
    <row r="4" spans="1:28">
      <c r="A4" s="1"/>
      <c r="B4" t="s">
        <v>347</v>
      </c>
      <c r="O4" s="3"/>
      <c r="R4" t="s">
        <v>348</v>
      </c>
      <c r="S4" t="s">
        <v>349</v>
      </c>
      <c r="T4" t="s">
        <v>350</v>
      </c>
      <c r="U4" t="s">
        <v>331</v>
      </c>
      <c r="V4" t="str">
        <f t="shared" si="0"/>
        <v>Z3:AJ3</v>
      </c>
      <c r="X4" t="s">
        <v>351</v>
      </c>
      <c r="Y4" t="s">
        <v>333</v>
      </c>
      <c r="Z4" t="s">
        <v>334</v>
      </c>
      <c r="AA4" t="s">
        <v>335</v>
      </c>
      <c r="AB4" t="str">
        <f t="shared" si="1"/>
        <v>Range("Z3:AJ3").Value = ThisWorkbook.Sheets("Data Source").Range("W4").Value</v>
      </c>
    </row>
    <row r="5" spans="1:28">
      <c r="A5" s="1"/>
      <c r="R5" t="s">
        <v>352</v>
      </c>
      <c r="S5" t="s">
        <v>353</v>
      </c>
      <c r="T5" t="s">
        <v>354</v>
      </c>
      <c r="U5" t="s">
        <v>331</v>
      </c>
      <c r="V5" t="str">
        <f t="shared" si="0"/>
        <v>D5:R5</v>
      </c>
      <c r="X5" t="s">
        <v>355</v>
      </c>
      <c r="Y5" t="s">
        <v>333</v>
      </c>
      <c r="Z5" t="s">
        <v>334</v>
      </c>
      <c r="AA5" t="s">
        <v>335</v>
      </c>
      <c r="AB5" t="str">
        <f t="shared" si="1"/>
        <v>Range("D5:R5").Value = ThisWorkbook.Sheets("Data Source").Range("W5").Value</v>
      </c>
    </row>
    <row r="6" spans="1:28">
      <c r="A6" s="1" t="s">
        <v>356</v>
      </c>
      <c r="B6" s="4" t="s">
        <v>357</v>
      </c>
      <c r="R6" t="s">
        <v>358</v>
      </c>
      <c r="S6" t="s">
        <v>359</v>
      </c>
      <c r="T6" t="s">
        <v>360</v>
      </c>
      <c r="U6" t="s">
        <v>331</v>
      </c>
      <c r="V6" t="str">
        <f t="shared" si="0"/>
        <v>Z5:AJ5</v>
      </c>
      <c r="X6" t="s">
        <v>361</v>
      </c>
      <c r="Y6" t="s">
        <v>333</v>
      </c>
      <c r="Z6" t="s">
        <v>334</v>
      </c>
      <c r="AA6" t="s">
        <v>335</v>
      </c>
      <c r="AB6" t="str">
        <f t="shared" si="1"/>
        <v>Range("Z5:AJ5").Value = ThisWorkbook.Sheets("Data Source").Range("W6").Value</v>
      </c>
    </row>
    <row r="7" spans="1:28">
      <c r="A7" s="1"/>
      <c r="B7" s="4" t="s">
        <v>362</v>
      </c>
      <c r="R7" t="s">
        <v>363</v>
      </c>
      <c r="S7" t="s">
        <v>364</v>
      </c>
      <c r="T7" t="s">
        <v>365</v>
      </c>
      <c r="U7" t="s">
        <v>331</v>
      </c>
      <c r="V7" t="str">
        <f t="shared" si="0"/>
        <v>D6:AJ6</v>
      </c>
      <c r="X7" t="s">
        <v>366</v>
      </c>
      <c r="Y7" t="s">
        <v>333</v>
      </c>
      <c r="Z7" t="s">
        <v>334</v>
      </c>
      <c r="AA7" t="s">
        <v>335</v>
      </c>
      <c r="AB7" t="str">
        <f t="shared" si="1"/>
        <v>Range("D6:AJ6").Value = ThisWorkbook.Sheets("Data Source").Range("W7").Value</v>
      </c>
    </row>
    <row r="8" spans="1:28">
      <c r="A8" s="1"/>
      <c r="B8" s="4" t="s">
        <v>367</v>
      </c>
      <c r="R8" t="s">
        <v>368</v>
      </c>
      <c r="S8" t="s">
        <v>369</v>
      </c>
      <c r="T8" t="s">
        <v>370</v>
      </c>
      <c r="U8" t="s">
        <v>331</v>
      </c>
      <c r="V8" t="str">
        <f t="shared" si="0"/>
        <v>H8:AJ8</v>
      </c>
      <c r="X8" t="s">
        <v>371</v>
      </c>
      <c r="Y8" t="s">
        <v>333</v>
      </c>
      <c r="Z8" t="s">
        <v>334</v>
      </c>
      <c r="AA8" t="s">
        <v>335</v>
      </c>
      <c r="AB8" t="str">
        <f t="shared" si="1"/>
        <v>Range("H8:AJ8").Value = ThisWorkbook.Sheets("Data Source").Range("W8").Value</v>
      </c>
    </row>
    <row r="9" spans="1:28">
      <c r="A9" s="1"/>
      <c r="D9" s="5"/>
      <c r="R9" t="s">
        <v>372</v>
      </c>
      <c r="S9" t="s">
        <v>373</v>
      </c>
      <c r="T9" t="s">
        <v>374</v>
      </c>
      <c r="U9" t="s">
        <v>331</v>
      </c>
      <c r="V9" t="str">
        <f t="shared" si="0"/>
        <v>H9:AJ9</v>
      </c>
      <c r="X9" t="s">
        <v>375</v>
      </c>
      <c r="Y9" t="s">
        <v>333</v>
      </c>
      <c r="Z9" t="s">
        <v>334</v>
      </c>
      <c r="AA9" t="s">
        <v>335</v>
      </c>
      <c r="AB9" t="str">
        <f t="shared" si="1"/>
        <v>Range("H9:AJ9").Value = ThisWorkbook.Sheets("Data Source").Range("W9").Value</v>
      </c>
    </row>
    <row r="10" spans="1:28">
      <c r="A10" s="1" t="s">
        <v>376</v>
      </c>
      <c r="B10" s="5" t="s">
        <v>377</v>
      </c>
      <c r="C10" s="5">
        <v>208</v>
      </c>
      <c r="D10" s="5">
        <v>220</v>
      </c>
      <c r="E10" s="5">
        <v>400</v>
      </c>
      <c r="F10" s="5">
        <v>415</v>
      </c>
      <c r="G10" s="5">
        <v>440</v>
      </c>
      <c r="H10" s="5">
        <v>480</v>
      </c>
      <c r="I10" s="6" t="s">
        <v>378</v>
      </c>
      <c r="R10" t="s">
        <v>379</v>
      </c>
      <c r="S10" t="s">
        <v>380</v>
      </c>
      <c r="T10" t="s">
        <v>381</v>
      </c>
      <c r="U10" t="s">
        <v>331</v>
      </c>
      <c r="V10" t="str">
        <f t="shared" si="0"/>
        <v>H10:R10</v>
      </c>
      <c r="X10" t="s">
        <v>382</v>
      </c>
      <c r="Y10" t="s">
        <v>333</v>
      </c>
      <c r="Z10" t="s">
        <v>334</v>
      </c>
      <c r="AA10" t="s">
        <v>335</v>
      </c>
      <c r="AB10" t="str">
        <f t="shared" si="1"/>
        <v>Range("H10:R10").Value = ThisWorkbook.Sheets("Data Source").Range("W10").Value</v>
      </c>
    </row>
    <row r="11" spans="1:28">
      <c r="A11" s="1"/>
      <c r="B11" s="5">
        <v>120</v>
      </c>
      <c r="C11" s="5">
        <v>208</v>
      </c>
      <c r="D11" s="5">
        <v>220</v>
      </c>
      <c r="E11" s="5">
        <v>230</v>
      </c>
      <c r="F11" s="5">
        <v>240</v>
      </c>
      <c r="G11" s="5">
        <v>240</v>
      </c>
      <c r="H11" s="6" t="s">
        <v>378</v>
      </c>
      <c r="I11" s="4"/>
      <c r="R11" t="s">
        <v>383</v>
      </c>
      <c r="S11" t="s">
        <v>384</v>
      </c>
      <c r="T11" t="s">
        <v>385</v>
      </c>
      <c r="U11" t="s">
        <v>331</v>
      </c>
      <c r="V11" t="str">
        <f t="shared" si="0"/>
        <v>Z10:AJ10</v>
      </c>
      <c r="X11" t="s">
        <v>386</v>
      </c>
      <c r="Y11" t="s">
        <v>333</v>
      </c>
      <c r="Z11" t="s">
        <v>334</v>
      </c>
      <c r="AA11" t="s">
        <v>335</v>
      </c>
      <c r="AB11" t="str">
        <f t="shared" si="1"/>
        <v>Range("Z10:AJ10").Value = ThisWorkbook.Sheets("Data Source").Range("W11").Value</v>
      </c>
    </row>
    <row r="12" spans="1:28">
      <c r="A12" s="1"/>
      <c r="B12" s="5">
        <v>110</v>
      </c>
      <c r="C12" s="5">
        <v>125</v>
      </c>
      <c r="D12" s="5">
        <v>220</v>
      </c>
      <c r="E12" s="4"/>
      <c r="F12" s="4"/>
      <c r="G12" s="4"/>
      <c r="H12" s="4"/>
      <c r="I12" s="4"/>
      <c r="R12" t="s">
        <v>387</v>
      </c>
      <c r="S12" t="s">
        <v>388</v>
      </c>
      <c r="T12" t="s">
        <v>389</v>
      </c>
      <c r="U12" t="s">
        <v>331</v>
      </c>
      <c r="V12" t="str">
        <f t="shared" si="0"/>
        <v>H11:AJ11</v>
      </c>
      <c r="X12" t="s">
        <v>390</v>
      </c>
      <c r="Y12" t="s">
        <v>333</v>
      </c>
      <c r="Z12" t="s">
        <v>334</v>
      </c>
      <c r="AA12" t="s">
        <v>335</v>
      </c>
      <c r="AB12" t="str">
        <f t="shared" si="1"/>
        <v>Range("H11:AJ11").Value = ThisWorkbook.Sheets("Data Source").Range("W12").Value</v>
      </c>
    </row>
    <row r="13" spans="1:28">
      <c r="A13" s="1"/>
      <c r="R13" t="s">
        <v>391</v>
      </c>
      <c r="S13" t="s">
        <v>392</v>
      </c>
      <c r="T13" t="s">
        <v>393</v>
      </c>
      <c r="U13" t="s">
        <v>331</v>
      </c>
      <c r="V13" t="str">
        <f t="shared" si="0"/>
        <v>H12:R12</v>
      </c>
      <c r="X13" t="s">
        <v>394</v>
      </c>
      <c r="Y13" t="s">
        <v>333</v>
      </c>
      <c r="Z13" t="s">
        <v>334</v>
      </c>
      <c r="AA13" t="s">
        <v>335</v>
      </c>
      <c r="AB13" t="str">
        <f t="shared" si="1"/>
        <v>Range("H12:R12").Value = ThisWorkbook.Sheets("Data Source").Range("W13").Value</v>
      </c>
    </row>
    <row r="14" spans="1:28">
      <c r="A14" s="1" t="s">
        <v>395</v>
      </c>
      <c r="B14" t="s">
        <v>42</v>
      </c>
      <c r="R14" t="s">
        <v>396</v>
      </c>
      <c r="S14" t="s">
        <v>397</v>
      </c>
      <c r="T14" t="s">
        <v>398</v>
      </c>
      <c r="U14" t="s">
        <v>331</v>
      </c>
      <c r="V14" t="str">
        <f t="shared" si="0"/>
        <v>Z12:AJ12</v>
      </c>
      <c r="X14" t="s">
        <v>399</v>
      </c>
      <c r="Y14" t="s">
        <v>333</v>
      </c>
      <c r="Z14" t="s">
        <v>334</v>
      </c>
      <c r="AA14" t="s">
        <v>335</v>
      </c>
      <c r="AB14" t="str">
        <f t="shared" si="1"/>
        <v>Range("Z12:AJ12").Value = ThisWorkbook.Sheets("Data Source").Range("W14").Value</v>
      </c>
    </row>
    <row r="15" spans="1:28">
      <c r="A15" s="1"/>
      <c r="B15" t="s">
        <v>400</v>
      </c>
      <c r="R15" t="s">
        <v>401</v>
      </c>
      <c r="S15" t="s">
        <v>402</v>
      </c>
      <c r="T15" t="s">
        <v>403</v>
      </c>
      <c r="U15" t="s">
        <v>331</v>
      </c>
      <c r="V15" t="str">
        <f t="shared" si="0"/>
        <v>H13:R13</v>
      </c>
      <c r="X15" t="s">
        <v>404</v>
      </c>
      <c r="Y15" t="s">
        <v>333</v>
      </c>
      <c r="Z15" t="s">
        <v>334</v>
      </c>
      <c r="AA15" t="s">
        <v>335</v>
      </c>
      <c r="AB15" t="str">
        <f t="shared" si="1"/>
        <v>Range("H13:R13").Value = ThisWorkbook.Sheets("Data Source").Range("W15").Value</v>
      </c>
    </row>
    <row r="16" spans="1:28">
      <c r="A16" s="1"/>
      <c r="R16" t="s">
        <v>405</v>
      </c>
      <c r="S16" t="s">
        <v>406</v>
      </c>
      <c r="T16" t="s">
        <v>407</v>
      </c>
      <c r="U16" t="s">
        <v>331</v>
      </c>
      <c r="V16" t="str">
        <f t="shared" si="0"/>
        <v>Z13:AJ13</v>
      </c>
      <c r="X16" t="s">
        <v>408</v>
      </c>
      <c r="Y16" t="s">
        <v>333</v>
      </c>
      <c r="Z16" t="s">
        <v>334</v>
      </c>
      <c r="AA16" t="s">
        <v>335</v>
      </c>
      <c r="AB16" t="str">
        <f t="shared" si="1"/>
        <v>Range("Z13:AJ13").Value = ThisWorkbook.Sheets("Data Source").Range("W16").Value</v>
      </c>
    </row>
    <row r="17" spans="1:28">
      <c r="A17" s="1" t="s">
        <v>409</v>
      </c>
      <c r="B17" t="s">
        <v>137</v>
      </c>
      <c r="C17" t="s">
        <v>138</v>
      </c>
      <c r="D17" t="s">
        <v>139</v>
      </c>
      <c r="E17" t="s">
        <v>140</v>
      </c>
      <c r="F17" t="s">
        <v>141</v>
      </c>
      <c r="G17" t="s">
        <v>410</v>
      </c>
      <c r="H17" t="s">
        <v>142</v>
      </c>
      <c r="I17" t="s">
        <v>143</v>
      </c>
      <c r="J17" t="s">
        <v>144</v>
      </c>
      <c r="K17" t="s">
        <v>411</v>
      </c>
      <c r="R17" t="s">
        <v>22</v>
      </c>
      <c r="S17" t="s">
        <v>412</v>
      </c>
      <c r="T17" t="s">
        <v>413</v>
      </c>
      <c r="U17" t="s">
        <v>331</v>
      </c>
      <c r="V17" t="str">
        <f t="shared" si="0"/>
        <v>H14:R14</v>
      </c>
      <c r="X17" t="s">
        <v>414</v>
      </c>
      <c r="Y17" t="s">
        <v>333</v>
      </c>
      <c r="Z17" t="s">
        <v>334</v>
      </c>
      <c r="AA17" t="s">
        <v>335</v>
      </c>
      <c r="AB17" t="str">
        <f t="shared" si="1"/>
        <v>Range("H14:R14").Value = ThisWorkbook.Sheets("Data Source").Range("W17").Value</v>
      </c>
    </row>
    <row r="18" spans="1:28">
      <c r="A18" s="1"/>
      <c r="R18" t="s">
        <v>23</v>
      </c>
      <c r="S18" t="s">
        <v>415</v>
      </c>
      <c r="T18" t="s">
        <v>416</v>
      </c>
      <c r="U18" t="s">
        <v>331</v>
      </c>
      <c r="V18" t="str">
        <f t="shared" si="0"/>
        <v>Z14:AJ14</v>
      </c>
      <c r="X18" t="s">
        <v>417</v>
      </c>
      <c r="Y18" t="s">
        <v>333</v>
      </c>
      <c r="Z18" t="s">
        <v>334</v>
      </c>
      <c r="AA18" t="s">
        <v>335</v>
      </c>
      <c r="AB18" t="str">
        <f t="shared" si="1"/>
        <v>Range("Z14:AJ14").Value = ThisWorkbook.Sheets("Data Source").Range("W18").Value</v>
      </c>
    </row>
    <row r="19" spans="1:28">
      <c r="A19" s="1" t="s">
        <v>145</v>
      </c>
      <c r="B19" t="s">
        <v>418</v>
      </c>
      <c r="C19">
        <v>0</v>
      </c>
      <c r="R19" t="s">
        <v>419</v>
      </c>
      <c r="S19" t="s">
        <v>420</v>
      </c>
      <c r="T19" t="s">
        <v>421</v>
      </c>
      <c r="U19" t="s">
        <v>331</v>
      </c>
      <c r="V19" t="str">
        <f t="shared" si="0"/>
        <v>H16:R16</v>
      </c>
      <c r="X19" t="s">
        <v>422</v>
      </c>
      <c r="Y19" t="s">
        <v>333</v>
      </c>
      <c r="Z19" t="s">
        <v>334</v>
      </c>
      <c r="AA19" t="s">
        <v>335</v>
      </c>
      <c r="AB19" t="str">
        <f t="shared" si="1"/>
        <v>Range("H16:R16").Value = ThisWorkbook.Sheets("Data Source").Range("W19").Value</v>
      </c>
    </row>
    <row r="20" spans="1:28">
      <c r="A20" s="1"/>
      <c r="B20" t="s">
        <v>423</v>
      </c>
      <c r="C20">
        <v>300</v>
      </c>
      <c r="R20" t="s">
        <v>424</v>
      </c>
      <c r="S20" t="s">
        <v>425</v>
      </c>
      <c r="T20" t="s">
        <v>426</v>
      </c>
      <c r="U20" t="s">
        <v>331</v>
      </c>
      <c r="V20" t="str">
        <f t="shared" si="0"/>
        <v>Z16:AJ16</v>
      </c>
      <c r="W20">
        <v>17</v>
      </c>
      <c r="X20" t="s">
        <v>427</v>
      </c>
      <c r="Y20" t="s">
        <v>333</v>
      </c>
      <c r="Z20" t="s">
        <v>334</v>
      </c>
      <c r="AA20" t="s">
        <v>335</v>
      </c>
      <c r="AB20" t="str">
        <f t="shared" si="1"/>
        <v>Range("Z16:AJ16").Value = ThisWorkbook.Sheets("Data Source").Range("W20").Value</v>
      </c>
    </row>
    <row r="21" spans="1:28">
      <c r="A21" s="1"/>
      <c r="B21" t="s">
        <v>428</v>
      </c>
      <c r="C21">
        <v>300</v>
      </c>
      <c r="R21" t="s">
        <v>429</v>
      </c>
      <c r="S21" t="s">
        <v>430</v>
      </c>
      <c r="T21" t="s">
        <v>431</v>
      </c>
      <c r="U21" t="s">
        <v>331</v>
      </c>
      <c r="V21" t="str">
        <f t="shared" si="0"/>
        <v>H17:O17</v>
      </c>
      <c r="W21" t="s">
        <v>28</v>
      </c>
      <c r="X21" t="s">
        <v>432</v>
      </c>
      <c r="Y21" t="s">
        <v>333</v>
      </c>
      <c r="Z21" t="s">
        <v>334</v>
      </c>
      <c r="AA21" t="s">
        <v>335</v>
      </c>
      <c r="AB21" t="str">
        <f t="shared" si="1"/>
        <v>Range("H17:O17").Value = ThisWorkbook.Sheets("Data Source").Range("W21").Value</v>
      </c>
    </row>
    <row r="22" spans="1:28" ht="29">
      <c r="A22" s="1"/>
      <c r="R22" t="s">
        <v>433</v>
      </c>
      <c r="S22" t="s">
        <v>434</v>
      </c>
      <c r="T22" t="s">
        <v>435</v>
      </c>
      <c r="U22" t="s">
        <v>331</v>
      </c>
      <c r="V22" t="str">
        <f t="shared" si="0"/>
        <v>P17:AA17</v>
      </c>
      <c r="W22" s="7" t="s">
        <v>29</v>
      </c>
      <c r="X22" t="s">
        <v>436</v>
      </c>
      <c r="Y22" t="s">
        <v>333</v>
      </c>
      <c r="Z22" t="s">
        <v>334</v>
      </c>
      <c r="AA22" t="s">
        <v>335</v>
      </c>
      <c r="AB22" t="str">
        <f t="shared" si="1"/>
        <v>Range("P17:AA17").Value = ThisWorkbook.Sheets("Data Source").Range("W22").Value</v>
      </c>
    </row>
    <row r="23" spans="1:28">
      <c r="A23" s="1" t="s">
        <v>437</v>
      </c>
      <c r="B23" t="s">
        <v>438</v>
      </c>
      <c r="D23" s="8"/>
      <c r="R23" t="s">
        <v>439</v>
      </c>
      <c r="S23" t="s">
        <v>440</v>
      </c>
      <c r="T23" t="s">
        <v>441</v>
      </c>
      <c r="U23" t="s">
        <v>331</v>
      </c>
      <c r="V23" t="str">
        <f t="shared" si="0"/>
        <v>AB17:AJ17</v>
      </c>
      <c r="W23" t="s">
        <v>30</v>
      </c>
      <c r="X23" t="s">
        <v>442</v>
      </c>
      <c r="Y23" t="s">
        <v>333</v>
      </c>
      <c r="Z23" t="s">
        <v>334</v>
      </c>
      <c r="AA23" t="s">
        <v>335</v>
      </c>
      <c r="AB23" t="str">
        <f t="shared" si="1"/>
        <v>Range("AB17:AJ17").Value = ThisWorkbook.Sheets("Data Source").Range("W23").Value</v>
      </c>
    </row>
    <row r="24" spans="1:28">
      <c r="A24" s="1"/>
      <c r="B24" t="s">
        <v>443</v>
      </c>
      <c r="R24" t="s">
        <v>38</v>
      </c>
      <c r="S24" t="s">
        <v>444</v>
      </c>
      <c r="T24" t="s">
        <v>445</v>
      </c>
      <c r="U24" t="s">
        <v>331</v>
      </c>
      <c r="V24" t="str">
        <f t="shared" si="0"/>
        <v>H21:AC21</v>
      </c>
      <c r="W24" t="s">
        <v>39</v>
      </c>
      <c r="X24" t="s">
        <v>446</v>
      </c>
      <c r="Y24" t="s">
        <v>333</v>
      </c>
      <c r="Z24" t="s">
        <v>334</v>
      </c>
      <c r="AA24" t="s">
        <v>335</v>
      </c>
      <c r="AB24" t="str">
        <f t="shared" si="1"/>
        <v>Range("H21:AC21").Value = ThisWorkbook.Sheets("Data Source").Range("W24").Value</v>
      </c>
    </row>
    <row r="25" spans="1:28">
      <c r="A25" s="1"/>
      <c r="B25" t="s">
        <v>447</v>
      </c>
      <c r="R25" t="s">
        <v>448</v>
      </c>
      <c r="S25" t="s">
        <v>449</v>
      </c>
      <c r="T25" t="s">
        <v>450</v>
      </c>
      <c r="U25" t="s">
        <v>331</v>
      </c>
      <c r="V25" t="str">
        <f t="shared" si="0"/>
        <v>H23:AC24</v>
      </c>
      <c r="W25" t="s">
        <v>42</v>
      </c>
      <c r="X25" t="s">
        <v>451</v>
      </c>
      <c r="Y25" t="s">
        <v>333</v>
      </c>
      <c r="Z25" t="s">
        <v>334</v>
      </c>
      <c r="AA25" t="s">
        <v>335</v>
      </c>
      <c r="AB25" t="str">
        <f t="shared" si="1"/>
        <v>Range("H23:AC24").Value = ThisWorkbook.Sheets("Data Source").Range("W25").Value</v>
      </c>
    </row>
    <row r="26" spans="1:28">
      <c r="A26" s="1"/>
      <c r="R26" t="s">
        <v>452</v>
      </c>
      <c r="S26" t="s">
        <v>453</v>
      </c>
      <c r="T26" t="s">
        <v>454</v>
      </c>
      <c r="U26" t="s">
        <v>331</v>
      </c>
      <c r="V26" t="str">
        <f t="shared" si="0"/>
        <v>H25:AC25</v>
      </c>
      <c r="W26" t="s">
        <v>44</v>
      </c>
      <c r="X26" t="s">
        <v>455</v>
      </c>
      <c r="Y26" t="s">
        <v>333</v>
      </c>
      <c r="Z26" t="s">
        <v>334</v>
      </c>
      <c r="AA26" t="s">
        <v>335</v>
      </c>
      <c r="AB26" t="str">
        <f t="shared" si="1"/>
        <v>Range("H25:AC25").Value = ThisWorkbook.Sheets("Data Source").Range("W26").Value</v>
      </c>
    </row>
    <row r="27" spans="1:28">
      <c r="A27" s="1" t="s">
        <v>237</v>
      </c>
      <c r="B27" t="s">
        <v>98</v>
      </c>
      <c r="R27" s="9" t="s">
        <v>456</v>
      </c>
      <c r="S27" s="9" t="s">
        <v>457</v>
      </c>
      <c r="T27" s="9" t="s">
        <v>458</v>
      </c>
      <c r="U27" t="s">
        <v>331</v>
      </c>
      <c r="V27" t="str">
        <f t="shared" si="0"/>
        <v>H26:AC26</v>
      </c>
      <c r="W27" s="9" t="s">
        <v>46</v>
      </c>
      <c r="X27" t="s">
        <v>459</v>
      </c>
      <c r="Y27" t="s">
        <v>333</v>
      </c>
      <c r="Z27" t="s">
        <v>334</v>
      </c>
      <c r="AA27" t="s">
        <v>335</v>
      </c>
      <c r="AB27" t="str">
        <f t="shared" si="1"/>
        <v>Range("H26:AC26").Value = ThisWorkbook.Sheets("Data Source").Range("W27").Value</v>
      </c>
    </row>
    <row r="28" spans="1:28">
      <c r="A28" s="1"/>
      <c r="B28" t="s">
        <v>239</v>
      </c>
      <c r="R28" t="s">
        <v>164</v>
      </c>
      <c r="S28" s="9" t="s">
        <v>460</v>
      </c>
      <c r="T28" s="9" t="s">
        <v>461</v>
      </c>
      <c r="U28" t="s">
        <v>331</v>
      </c>
      <c r="V28" t="str">
        <f t="shared" si="0"/>
        <v>H27:AC27</v>
      </c>
      <c r="W28" t="s">
        <v>44</v>
      </c>
      <c r="X28" t="s">
        <v>462</v>
      </c>
      <c r="Y28" t="s">
        <v>333</v>
      </c>
      <c r="Z28" t="s">
        <v>334</v>
      </c>
      <c r="AA28" t="s">
        <v>335</v>
      </c>
      <c r="AB28" t="str">
        <f t="shared" si="1"/>
        <v>Range("H27:AC27").Value = ThisWorkbook.Sheets("Data Source").Range("W28").Value</v>
      </c>
    </row>
    <row r="29" spans="1:28">
      <c r="A29" s="1"/>
      <c r="B29" t="s">
        <v>195</v>
      </c>
      <c r="R29" t="s">
        <v>448</v>
      </c>
      <c r="S29" t="s">
        <v>463</v>
      </c>
      <c r="T29" t="s">
        <v>464</v>
      </c>
      <c r="U29" t="s">
        <v>331</v>
      </c>
      <c r="V29" t="str">
        <f t="shared" si="0"/>
        <v>H29:AC29</v>
      </c>
      <c r="W29" t="s">
        <v>42</v>
      </c>
      <c r="X29" t="s">
        <v>465</v>
      </c>
      <c r="Y29" t="s">
        <v>333</v>
      </c>
      <c r="Z29" t="s">
        <v>334</v>
      </c>
      <c r="AA29" t="s">
        <v>335</v>
      </c>
      <c r="AB29" t="str">
        <f t="shared" si="1"/>
        <v>Range("H29:AC29").Value = ThisWorkbook.Sheets("Data Source").Range("W29").Value</v>
      </c>
    </row>
    <row r="30" spans="1:28">
      <c r="A30" s="1"/>
      <c r="B30" t="s">
        <v>240</v>
      </c>
      <c r="R30" t="s">
        <v>452</v>
      </c>
      <c r="S30" t="s">
        <v>466</v>
      </c>
      <c r="T30" t="s">
        <v>467</v>
      </c>
      <c r="U30" t="s">
        <v>331</v>
      </c>
      <c r="V30" t="str">
        <f t="shared" si="0"/>
        <v>H31:AC31</v>
      </c>
      <c r="W30" t="s">
        <v>44</v>
      </c>
      <c r="X30" t="s">
        <v>468</v>
      </c>
      <c r="Y30" t="s">
        <v>333</v>
      </c>
      <c r="Z30" t="s">
        <v>334</v>
      </c>
      <c r="AA30" t="s">
        <v>335</v>
      </c>
      <c r="AB30" t="str">
        <f t="shared" si="1"/>
        <v>Range("H31:AC31").Value = ThisWorkbook.Sheets("Data Source").Range("W30").Value</v>
      </c>
    </row>
    <row r="31" spans="1:28">
      <c r="A31" s="1"/>
      <c r="B31" t="s">
        <v>241</v>
      </c>
      <c r="R31" t="s">
        <v>469</v>
      </c>
      <c r="S31" t="s">
        <v>470</v>
      </c>
      <c r="T31" t="s">
        <v>471</v>
      </c>
      <c r="U31" t="s">
        <v>331</v>
      </c>
      <c r="V31" t="str">
        <f t="shared" si="0"/>
        <v>H32:AC32</v>
      </c>
      <c r="W31" t="s">
        <v>51</v>
      </c>
      <c r="X31" t="s">
        <v>472</v>
      </c>
      <c r="Y31" t="s">
        <v>333</v>
      </c>
      <c r="Z31" t="s">
        <v>334</v>
      </c>
      <c r="AA31" t="s">
        <v>335</v>
      </c>
      <c r="AB31" t="str">
        <f t="shared" si="1"/>
        <v>Range("H32:AC32").Value = ThisWorkbook.Sheets("Data Source").Range("W31").Value</v>
      </c>
    </row>
    <row r="32" spans="1:28">
      <c r="A32" s="1"/>
      <c r="R32" t="s">
        <v>473</v>
      </c>
      <c r="S32" t="s">
        <v>474</v>
      </c>
      <c r="T32" t="s">
        <v>475</v>
      </c>
      <c r="U32" t="s">
        <v>331</v>
      </c>
      <c r="V32" t="str">
        <f t="shared" si="0"/>
        <v>H34:AC34</v>
      </c>
      <c r="W32" t="s">
        <v>54</v>
      </c>
      <c r="X32" t="s">
        <v>476</v>
      </c>
      <c r="Y32" t="s">
        <v>333</v>
      </c>
      <c r="Z32" t="s">
        <v>334</v>
      </c>
      <c r="AA32" t="s">
        <v>335</v>
      </c>
      <c r="AB32" t="str">
        <f t="shared" si="1"/>
        <v>Range("H34:AC34").Value = ThisWorkbook.Sheets("Data Source").Range("W32").Value</v>
      </c>
    </row>
    <row r="33" spans="1:28">
      <c r="A33" s="1"/>
      <c r="R33" t="s">
        <v>477</v>
      </c>
      <c r="S33" t="s">
        <v>478</v>
      </c>
      <c r="T33" t="s">
        <v>479</v>
      </c>
      <c r="U33" t="s">
        <v>331</v>
      </c>
      <c r="V33" t="str">
        <f t="shared" si="0"/>
        <v>H35:AC35</v>
      </c>
      <c r="W33" t="s">
        <v>57</v>
      </c>
      <c r="X33" t="s">
        <v>480</v>
      </c>
      <c r="Y33" t="s">
        <v>333</v>
      </c>
      <c r="Z33" t="s">
        <v>334</v>
      </c>
      <c r="AA33" t="s">
        <v>335</v>
      </c>
      <c r="AB33" t="str">
        <f t="shared" si="1"/>
        <v>Range("H35:AC35").Value = ThisWorkbook.Sheets("Data Source").Range("W33").Value</v>
      </c>
    </row>
    <row r="34" spans="1:28">
      <c r="A34" s="1"/>
      <c r="R34" t="s">
        <v>481</v>
      </c>
      <c r="S34" t="s">
        <v>482</v>
      </c>
      <c r="T34" t="s">
        <v>483</v>
      </c>
      <c r="U34" t="s">
        <v>331</v>
      </c>
      <c r="V34" t="str">
        <f t="shared" si="0"/>
        <v>H37:AC37</v>
      </c>
      <c r="W34" t="s">
        <v>62</v>
      </c>
      <c r="X34" t="s">
        <v>484</v>
      </c>
      <c r="Y34" t="s">
        <v>333</v>
      </c>
      <c r="Z34" t="s">
        <v>334</v>
      </c>
      <c r="AA34" t="s">
        <v>335</v>
      </c>
      <c r="AB34" t="str">
        <f t="shared" si="1"/>
        <v>Range("H37:AC37").Value = ThisWorkbook.Sheets("Data Source").Range("W34").Value</v>
      </c>
    </row>
    <row r="35" spans="1:28">
      <c r="A35" s="1"/>
      <c r="R35" t="s">
        <v>485</v>
      </c>
      <c r="S35" t="s">
        <v>486</v>
      </c>
      <c r="T35" t="s">
        <v>487</v>
      </c>
      <c r="U35" t="s">
        <v>331</v>
      </c>
      <c r="V35" t="str">
        <f t="shared" si="0"/>
        <v>H38:AC38</v>
      </c>
      <c r="W35" t="s">
        <v>44</v>
      </c>
      <c r="X35" t="s">
        <v>488</v>
      </c>
      <c r="Y35" t="s">
        <v>333</v>
      </c>
      <c r="Z35" t="s">
        <v>334</v>
      </c>
      <c r="AA35" t="s">
        <v>335</v>
      </c>
      <c r="AB35" t="str">
        <f t="shared" si="1"/>
        <v>Range("H38:AC38").Value = ThisWorkbook.Sheets("Data Source").Range("W35").Value</v>
      </c>
    </row>
    <row r="36" spans="1:28">
      <c r="A36" s="1" t="s">
        <v>242</v>
      </c>
      <c r="B36" t="s">
        <v>489</v>
      </c>
      <c r="E36" s="1" t="s">
        <v>206</v>
      </c>
      <c r="F36" t="s">
        <v>69</v>
      </c>
      <c r="R36" t="s">
        <v>203</v>
      </c>
      <c r="S36" t="s">
        <v>490</v>
      </c>
      <c r="T36" t="s">
        <v>491</v>
      </c>
      <c r="U36" t="s">
        <v>331</v>
      </c>
      <c r="V36" t="str">
        <f t="shared" si="0"/>
        <v>H40:AC40</v>
      </c>
      <c r="X36" t="s">
        <v>492</v>
      </c>
      <c r="Y36" t="s">
        <v>333</v>
      </c>
      <c r="Z36" t="s">
        <v>334</v>
      </c>
      <c r="AA36" t="s">
        <v>335</v>
      </c>
      <c r="AB36" t="str">
        <f t="shared" si="1"/>
        <v>Range("H40:AC40").Value = ThisWorkbook.Sheets("Data Source").Range("W36").Value</v>
      </c>
    </row>
    <row r="37" spans="1:28">
      <c r="A37" s="1"/>
      <c r="B37" t="s">
        <v>493</v>
      </c>
      <c r="E37" s="1"/>
      <c r="F37" t="s">
        <v>494</v>
      </c>
      <c r="R37" t="s">
        <v>204</v>
      </c>
      <c r="S37" t="s">
        <v>495</v>
      </c>
      <c r="T37" t="s">
        <v>496</v>
      </c>
      <c r="U37" t="s">
        <v>331</v>
      </c>
      <c r="V37" t="str">
        <f t="shared" si="0"/>
        <v>H41:AC41</v>
      </c>
      <c r="X37" t="s">
        <v>497</v>
      </c>
      <c r="Y37" t="s">
        <v>333</v>
      </c>
      <c r="Z37" t="s">
        <v>334</v>
      </c>
      <c r="AA37" t="s">
        <v>335</v>
      </c>
      <c r="AB37" t="str">
        <f t="shared" si="1"/>
        <v>Range("H41:AC41").Value = ThisWorkbook.Sheets("Data Source").Range("W37").Value</v>
      </c>
    </row>
    <row r="38" spans="1:28">
      <c r="A38" s="1"/>
      <c r="B38" t="s">
        <v>498</v>
      </c>
      <c r="F38" t="s">
        <v>499</v>
      </c>
      <c r="R38" t="s">
        <v>500</v>
      </c>
      <c r="S38" t="s">
        <v>501</v>
      </c>
      <c r="T38" t="s">
        <v>502</v>
      </c>
      <c r="U38" t="s">
        <v>331</v>
      </c>
      <c r="V38" t="str">
        <f t="shared" si="0"/>
        <v>H42:AC42</v>
      </c>
      <c r="X38" t="s">
        <v>503</v>
      </c>
      <c r="Y38" t="s">
        <v>333</v>
      </c>
      <c r="Z38" t="s">
        <v>334</v>
      </c>
      <c r="AA38" t="s">
        <v>335</v>
      </c>
      <c r="AB38" t="str">
        <f t="shared" si="1"/>
        <v>Range("H42:AC42").Value = ThisWorkbook.Sheets("Data Source").Range("W38").Value</v>
      </c>
    </row>
    <row r="39" spans="1:28">
      <c r="A39" s="1"/>
      <c r="B39" t="s">
        <v>504</v>
      </c>
      <c r="R39" t="s">
        <v>206</v>
      </c>
      <c r="S39" t="s">
        <v>505</v>
      </c>
      <c r="T39" t="s">
        <v>506</v>
      </c>
      <c r="U39" t="s">
        <v>331</v>
      </c>
      <c r="V39" t="str">
        <f t="shared" si="0"/>
        <v>H43:AC43</v>
      </c>
      <c r="W39" t="s">
        <v>69</v>
      </c>
      <c r="X39" t="s">
        <v>507</v>
      </c>
      <c r="Y39" t="s">
        <v>333</v>
      </c>
      <c r="Z39" t="s">
        <v>334</v>
      </c>
      <c r="AA39" t="s">
        <v>335</v>
      </c>
      <c r="AB39" t="str">
        <f t="shared" si="1"/>
        <v>Range("H43:AC43").Value = ThisWorkbook.Sheets("Data Source").Range("W39").Value</v>
      </c>
    </row>
    <row r="40" spans="1:28">
      <c r="A40" s="1"/>
      <c r="B40" t="s">
        <v>508</v>
      </c>
      <c r="R40" t="s">
        <v>221</v>
      </c>
      <c r="S40" t="s">
        <v>509</v>
      </c>
      <c r="T40" t="s">
        <v>510</v>
      </c>
      <c r="U40" t="s">
        <v>331</v>
      </c>
      <c r="V40" t="str">
        <f t="shared" si="0"/>
        <v>H49:AC49</v>
      </c>
      <c r="W40" t="s">
        <v>225</v>
      </c>
      <c r="X40" t="s">
        <v>511</v>
      </c>
      <c r="Y40" t="s">
        <v>333</v>
      </c>
      <c r="Z40" t="s">
        <v>334</v>
      </c>
      <c r="AA40" t="s">
        <v>335</v>
      </c>
      <c r="AB40" t="str">
        <f t="shared" si="1"/>
        <v>Range("H49:AC49").Value = ThisWorkbook.Sheets("Data Source").Range("W40").Value</v>
      </c>
    </row>
    <row r="41" spans="1:28">
      <c r="A41" s="1"/>
      <c r="B41" t="s">
        <v>512</v>
      </c>
      <c r="R41" t="s">
        <v>513</v>
      </c>
      <c r="S41" t="s">
        <v>514</v>
      </c>
      <c r="T41" t="s">
        <v>515</v>
      </c>
      <c r="U41" t="s">
        <v>331</v>
      </c>
      <c r="V41" t="str">
        <f t="shared" si="0"/>
        <v>H53:U53</v>
      </c>
      <c r="W41">
        <v>30</v>
      </c>
      <c r="X41" t="s">
        <v>516</v>
      </c>
      <c r="Y41" t="s">
        <v>333</v>
      </c>
      <c r="Z41" t="s">
        <v>334</v>
      </c>
      <c r="AA41" t="s">
        <v>335</v>
      </c>
      <c r="AB41" t="str">
        <f t="shared" si="1"/>
        <v>Range("H53:U53").Value = ThisWorkbook.Sheets("Data Source").Range("W41").Value</v>
      </c>
    </row>
    <row r="42" spans="1:28">
      <c r="A42" s="1"/>
      <c r="R42" t="s">
        <v>228</v>
      </c>
      <c r="S42" t="s">
        <v>517</v>
      </c>
      <c r="T42" t="s">
        <v>518</v>
      </c>
      <c r="U42" t="s">
        <v>331</v>
      </c>
      <c r="V42" t="str">
        <f t="shared" si="0"/>
        <v>H55:AC55</v>
      </c>
      <c r="W42" t="s">
        <v>85</v>
      </c>
      <c r="X42" t="s">
        <v>519</v>
      </c>
      <c r="Y42" t="s">
        <v>333</v>
      </c>
      <c r="Z42" t="s">
        <v>334</v>
      </c>
      <c r="AA42" t="s">
        <v>335</v>
      </c>
      <c r="AB42" t="str">
        <f t="shared" si="1"/>
        <v>Range("H55:AC55").Value = ThisWorkbook.Sheets("Data Source").Range("W42").Value</v>
      </c>
    </row>
    <row r="43" spans="1:28">
      <c r="A43" s="1"/>
      <c r="R43" t="s">
        <v>229</v>
      </c>
      <c r="S43" t="s">
        <v>520</v>
      </c>
      <c r="T43" t="s">
        <v>521</v>
      </c>
      <c r="U43" t="s">
        <v>331</v>
      </c>
      <c r="V43" t="str">
        <f t="shared" si="0"/>
        <v>H56:O56</v>
      </c>
      <c r="W43" t="s">
        <v>87</v>
      </c>
      <c r="X43" t="s">
        <v>522</v>
      </c>
      <c r="Y43" t="s">
        <v>333</v>
      </c>
      <c r="Z43" t="s">
        <v>334</v>
      </c>
      <c r="AA43" t="s">
        <v>335</v>
      </c>
      <c r="AB43" t="str">
        <f t="shared" si="1"/>
        <v>Range("H56:O56").Value = ThisWorkbook.Sheets("Data Source").Range("W43").Value</v>
      </c>
    </row>
    <row r="44" spans="1:28">
      <c r="A44" s="1" t="s">
        <v>523</v>
      </c>
      <c r="B44" t="s">
        <v>524</v>
      </c>
      <c r="R44" t="s">
        <v>272</v>
      </c>
      <c r="S44" t="s">
        <v>525</v>
      </c>
      <c r="T44" t="s">
        <v>526</v>
      </c>
      <c r="U44" t="s">
        <v>331</v>
      </c>
      <c r="V44" t="str">
        <f t="shared" si="0"/>
        <v>H57:AC57</v>
      </c>
      <c r="W44" t="s">
        <v>44</v>
      </c>
      <c r="X44" t="s">
        <v>527</v>
      </c>
      <c r="Y44" t="s">
        <v>333</v>
      </c>
      <c r="Z44" t="s">
        <v>334</v>
      </c>
      <c r="AA44" t="s">
        <v>335</v>
      </c>
      <c r="AB44" t="str">
        <f t="shared" si="1"/>
        <v>Range("H57:AC57").Value = ThisWorkbook.Sheets("Data Source").Range("W44").Value</v>
      </c>
    </row>
    <row r="45" spans="1:28">
      <c r="A45" s="1"/>
      <c r="B45" t="s">
        <v>528</v>
      </c>
      <c r="R45" t="s">
        <v>89</v>
      </c>
      <c r="S45" t="s">
        <v>529</v>
      </c>
      <c r="T45" t="s">
        <v>530</v>
      </c>
      <c r="U45" t="s">
        <v>331</v>
      </c>
      <c r="V45" t="str">
        <f t="shared" si="0"/>
        <v>H58:AC58</v>
      </c>
      <c r="W45" t="s">
        <v>90</v>
      </c>
      <c r="X45" t="s">
        <v>531</v>
      </c>
      <c r="Y45" t="s">
        <v>333</v>
      </c>
      <c r="Z45" t="s">
        <v>334</v>
      </c>
      <c r="AA45" t="s">
        <v>335</v>
      </c>
      <c r="AB45" t="str">
        <f t="shared" si="1"/>
        <v>Range("H58:AC58").Value = ThisWorkbook.Sheets("Data Source").Range("W45").Value</v>
      </c>
    </row>
    <row r="46" spans="1:28">
      <c r="A46" s="1"/>
      <c r="B46" t="s">
        <v>532</v>
      </c>
      <c r="R46" t="s">
        <v>236</v>
      </c>
      <c r="S46" t="s">
        <v>533</v>
      </c>
      <c r="T46" t="s">
        <v>534</v>
      </c>
      <c r="U46" t="s">
        <v>331</v>
      </c>
      <c r="V46" t="str">
        <f t="shared" si="0"/>
        <v>H59:AC59</v>
      </c>
      <c r="W46" t="s">
        <v>44</v>
      </c>
      <c r="X46" t="s">
        <v>535</v>
      </c>
      <c r="Y46" t="s">
        <v>333</v>
      </c>
      <c r="Z46" t="s">
        <v>334</v>
      </c>
      <c r="AA46" t="s">
        <v>335</v>
      </c>
      <c r="AB46" t="str">
        <f t="shared" si="1"/>
        <v>Range("H59:AC59").Value = ThisWorkbook.Sheets("Data Source").Range("W46").Value</v>
      </c>
    </row>
    <row r="47" spans="1:28">
      <c r="A47" s="1"/>
      <c r="B47" t="s">
        <v>536</v>
      </c>
      <c r="R47" t="s">
        <v>92</v>
      </c>
      <c r="S47" t="s">
        <v>537</v>
      </c>
      <c r="T47" t="s">
        <v>538</v>
      </c>
      <c r="U47" t="s">
        <v>331</v>
      </c>
      <c r="V47" t="str">
        <f t="shared" si="0"/>
        <v>H60:AC60</v>
      </c>
      <c r="W47" t="s">
        <v>39</v>
      </c>
      <c r="X47" t="s">
        <v>539</v>
      </c>
      <c r="Y47" t="s">
        <v>333</v>
      </c>
      <c r="Z47" t="s">
        <v>334</v>
      </c>
      <c r="AA47" t="s">
        <v>335</v>
      </c>
      <c r="AB47" t="str">
        <f t="shared" si="1"/>
        <v>Range("H60:AC60").Value = ThisWorkbook.Sheets("Data Source").Range("W47").Value</v>
      </c>
    </row>
    <row r="48" spans="1:28">
      <c r="A48" s="1"/>
      <c r="B48" t="s">
        <v>540</v>
      </c>
      <c r="R48" t="s">
        <v>244</v>
      </c>
      <c r="S48" t="s">
        <v>541</v>
      </c>
      <c r="T48" t="s">
        <v>542</v>
      </c>
      <c r="U48" t="s">
        <v>331</v>
      </c>
      <c r="V48" t="str">
        <f t="shared" si="0"/>
        <v>H61:AC61</v>
      </c>
      <c r="W48" t="s">
        <v>94</v>
      </c>
      <c r="X48" t="s">
        <v>543</v>
      </c>
      <c r="Y48" t="s">
        <v>333</v>
      </c>
      <c r="Z48" t="s">
        <v>334</v>
      </c>
      <c r="AA48" t="s">
        <v>335</v>
      </c>
      <c r="AB48" t="str">
        <f t="shared" si="1"/>
        <v>Range("H61:AC61").Value = ThisWorkbook.Sheets("Data Source").Range("W48").Value</v>
      </c>
    </row>
    <row r="49" spans="1:28">
      <c r="A49" s="1"/>
      <c r="B49" t="s">
        <v>544</v>
      </c>
      <c r="R49" t="s">
        <v>253</v>
      </c>
      <c r="S49" t="s">
        <v>545</v>
      </c>
      <c r="T49" t="s">
        <v>546</v>
      </c>
      <c r="U49" t="s">
        <v>331</v>
      </c>
      <c r="V49" t="str">
        <f t="shared" si="0"/>
        <v>H62:AC62</v>
      </c>
      <c r="W49" t="s">
        <v>96</v>
      </c>
      <c r="X49" t="s">
        <v>547</v>
      </c>
      <c r="Y49" t="s">
        <v>333</v>
      </c>
      <c r="Z49" t="s">
        <v>334</v>
      </c>
      <c r="AA49" t="s">
        <v>335</v>
      </c>
      <c r="AB49" t="str">
        <f t="shared" si="1"/>
        <v>Range("H62:AC62").Value = ThisWorkbook.Sheets("Data Source").Range("W49").Value</v>
      </c>
    </row>
    <row r="50" spans="1:28">
      <c r="A50" s="1"/>
      <c r="R50" t="s">
        <v>548</v>
      </c>
      <c r="S50" t="s">
        <v>549</v>
      </c>
      <c r="T50" t="s">
        <v>550</v>
      </c>
      <c r="U50" t="s">
        <v>331</v>
      </c>
      <c r="V50" t="str">
        <f t="shared" si="0"/>
        <v>H63:AC63</v>
      </c>
      <c r="W50" t="s">
        <v>98</v>
      </c>
      <c r="X50" t="s">
        <v>551</v>
      </c>
      <c r="Y50" t="s">
        <v>333</v>
      </c>
      <c r="Z50" t="s">
        <v>334</v>
      </c>
      <c r="AA50" t="s">
        <v>335</v>
      </c>
      <c r="AB50" t="str">
        <f t="shared" si="1"/>
        <v>Range("H63:AC63").Value = ThisWorkbook.Sheets("Data Source").Range("W50").Value</v>
      </c>
    </row>
    <row r="51" spans="1:28">
      <c r="A51" s="1"/>
      <c r="R51" t="s">
        <v>548</v>
      </c>
      <c r="S51" t="s">
        <v>552</v>
      </c>
      <c r="T51" t="s">
        <v>553</v>
      </c>
      <c r="U51" t="s">
        <v>331</v>
      </c>
      <c r="V51" t="str">
        <f t="shared" si="0"/>
        <v>H64:AA64</v>
      </c>
      <c r="W51">
        <v>1</v>
      </c>
      <c r="X51" t="s">
        <v>554</v>
      </c>
      <c r="Y51" t="s">
        <v>333</v>
      </c>
      <c r="Z51" t="s">
        <v>334</v>
      </c>
      <c r="AA51" t="s">
        <v>335</v>
      </c>
      <c r="AB51" t="str">
        <f t="shared" si="1"/>
        <v>Range("H64:AA64").Value = ThisWorkbook.Sheets("Data Source").Range("W51").Value</v>
      </c>
    </row>
    <row r="52" spans="1:28">
      <c r="A52" s="1" t="s">
        <v>555</v>
      </c>
      <c r="B52" t="s">
        <v>556</v>
      </c>
      <c r="R52" t="s">
        <v>557</v>
      </c>
      <c r="S52" t="s">
        <v>558</v>
      </c>
      <c r="T52" t="s">
        <v>559</v>
      </c>
      <c r="U52" t="s">
        <v>331</v>
      </c>
      <c r="V52" t="str">
        <f t="shared" si="0"/>
        <v>H65:AC65</v>
      </c>
      <c r="W52" t="s">
        <v>98</v>
      </c>
      <c r="X52" t="s">
        <v>560</v>
      </c>
      <c r="Y52" t="s">
        <v>333</v>
      </c>
      <c r="Z52" t="s">
        <v>334</v>
      </c>
      <c r="AA52" t="s">
        <v>335</v>
      </c>
      <c r="AB52" t="str">
        <f t="shared" si="1"/>
        <v>Range("H65:AC65").Value = ThisWorkbook.Sheets("Data Source").Range("W52").Value</v>
      </c>
    </row>
    <row r="53" spans="1:28">
      <c r="A53" s="1"/>
      <c r="B53" t="s">
        <v>561</v>
      </c>
      <c r="R53" t="s">
        <v>562</v>
      </c>
      <c r="S53" t="s">
        <v>563</v>
      </c>
      <c r="T53" t="s">
        <v>564</v>
      </c>
      <c r="U53" t="s">
        <v>331</v>
      </c>
      <c r="V53" t="str">
        <f t="shared" si="0"/>
        <v>H66:AC66</v>
      </c>
      <c r="W53" t="s">
        <v>102</v>
      </c>
      <c r="X53" t="s">
        <v>565</v>
      </c>
      <c r="Y53" t="s">
        <v>333</v>
      </c>
      <c r="Z53" t="s">
        <v>334</v>
      </c>
      <c r="AA53" t="s">
        <v>335</v>
      </c>
      <c r="AB53" t="str">
        <f t="shared" si="1"/>
        <v>Range("H66:AC66").Value = ThisWorkbook.Sheets("Data Source").Range("W53").Value</v>
      </c>
    </row>
    <row r="54" spans="1:28">
      <c r="A54" s="1"/>
      <c r="R54" t="s">
        <v>566</v>
      </c>
      <c r="S54" t="s">
        <v>567</v>
      </c>
      <c r="T54" t="s">
        <v>568</v>
      </c>
      <c r="U54" t="s">
        <v>331</v>
      </c>
      <c r="V54" t="str">
        <f t="shared" si="0"/>
        <v>E67:AJ71</v>
      </c>
      <c r="X54" t="s">
        <v>569</v>
      </c>
      <c r="Y54" t="s">
        <v>333</v>
      </c>
      <c r="Z54" t="s">
        <v>334</v>
      </c>
      <c r="AA54" t="s">
        <v>335</v>
      </c>
      <c r="AB54" t="str">
        <f t="shared" si="1"/>
        <v>Range("E67:AJ71").Value = ThisWorkbook.Sheets("Data Source").Range("W54").Value</v>
      </c>
    </row>
    <row r="55" spans="1:28">
      <c r="A55" s="1" t="s">
        <v>570</v>
      </c>
      <c r="B55" t="s">
        <v>571</v>
      </c>
      <c r="R55" t="s">
        <v>572</v>
      </c>
      <c r="S55" t="s">
        <v>573</v>
      </c>
      <c r="T55" t="s">
        <v>574</v>
      </c>
      <c r="U55" t="s">
        <v>331</v>
      </c>
      <c r="V55" t="str">
        <f t="shared" si="0"/>
        <v>E72:L73</v>
      </c>
      <c r="X55" t="s">
        <v>575</v>
      </c>
      <c r="Y55" t="s">
        <v>333</v>
      </c>
      <c r="Z55" t="s">
        <v>334</v>
      </c>
      <c r="AA55" t="s">
        <v>335</v>
      </c>
      <c r="AB55" t="str">
        <f t="shared" si="1"/>
        <v>Range("E72:L73").Value = ThisWorkbook.Sheets("Data Source").Range("W55").Value</v>
      </c>
    </row>
    <row r="56" spans="1:28">
      <c r="A56" s="1"/>
      <c r="B56" t="s">
        <v>576</v>
      </c>
      <c r="R56" t="s">
        <v>577</v>
      </c>
      <c r="S56" t="s">
        <v>578</v>
      </c>
      <c r="T56" t="s">
        <v>579</v>
      </c>
      <c r="U56" t="s">
        <v>331</v>
      </c>
      <c r="V56" t="str">
        <f t="shared" si="0"/>
        <v>P72:X73</v>
      </c>
      <c r="X56" t="s">
        <v>580</v>
      </c>
      <c r="Y56" t="s">
        <v>333</v>
      </c>
      <c r="Z56" t="s">
        <v>334</v>
      </c>
      <c r="AA56" t="s">
        <v>335</v>
      </c>
      <c r="AB56" t="str">
        <f t="shared" si="1"/>
        <v>Range("P72:X73").Value = ThisWorkbook.Sheets("Data Source").Range("W56").Value</v>
      </c>
    </row>
    <row r="57" spans="1:28">
      <c r="A57" s="1"/>
      <c r="R57" t="s">
        <v>581</v>
      </c>
      <c r="S57" t="s">
        <v>582</v>
      </c>
      <c r="T57" t="s">
        <v>583</v>
      </c>
      <c r="U57" t="s">
        <v>331</v>
      </c>
      <c r="V57" t="str">
        <f t="shared" si="0"/>
        <v>AD72:AJ78</v>
      </c>
      <c r="X57" t="s">
        <v>584</v>
      </c>
      <c r="Y57" t="s">
        <v>333</v>
      </c>
      <c r="Z57" t="s">
        <v>334</v>
      </c>
      <c r="AA57" t="s">
        <v>335</v>
      </c>
      <c r="AB57" t="str">
        <f t="shared" si="1"/>
        <v>Range("AD72:AJ78").Value = ThisWorkbook.Sheets("Data Source").Range("W57").Value</v>
      </c>
    </row>
    <row r="58" spans="1:28">
      <c r="A58" s="1" t="s">
        <v>585</v>
      </c>
      <c r="B58" t="s">
        <v>586</v>
      </c>
    </row>
    <row r="59" spans="1:28">
      <c r="A59" s="1"/>
      <c r="B59" t="s">
        <v>587</v>
      </c>
    </row>
    <row r="60" spans="1:28">
      <c r="A60" s="1"/>
    </row>
    <row r="61" spans="1:28">
      <c r="A61" t="s">
        <v>282</v>
      </c>
      <c r="B61" t="s">
        <v>588</v>
      </c>
    </row>
    <row r="62" spans="1:28">
      <c r="A62" s="1"/>
      <c r="B62" t="s">
        <v>589</v>
      </c>
    </row>
    <row r="63" spans="1:28">
      <c r="A63" s="1"/>
    </row>
    <row r="64" spans="1:28">
      <c r="A64" t="s">
        <v>590</v>
      </c>
      <c r="B64" t="s">
        <v>556</v>
      </c>
    </row>
    <row r="65" spans="1:2">
      <c r="A65" s="1"/>
      <c r="B65" t="s">
        <v>591</v>
      </c>
    </row>
    <row r="66" spans="1:2">
      <c r="A66" s="1"/>
    </row>
    <row r="67" spans="1:2">
      <c r="A67" t="s">
        <v>452</v>
      </c>
      <c r="B67" t="s">
        <v>592</v>
      </c>
    </row>
    <row r="68" spans="1:2">
      <c r="A68" s="1"/>
      <c r="B68" t="s">
        <v>423</v>
      </c>
    </row>
    <row r="69" spans="1:2">
      <c r="A69" s="1"/>
      <c r="B69" t="s">
        <v>428</v>
      </c>
    </row>
    <row r="71" spans="1:2">
      <c r="A71" t="s">
        <v>593</v>
      </c>
      <c r="B71">
        <v>0</v>
      </c>
    </row>
    <row r="72" spans="1:2">
      <c r="B72">
        <v>1</v>
      </c>
    </row>
    <row r="73" spans="1:2">
      <c r="B73">
        <v>2</v>
      </c>
    </row>
    <row r="74" spans="1:2">
      <c r="B74">
        <v>3</v>
      </c>
    </row>
    <row r="75" spans="1:2">
      <c r="B75">
        <v>4</v>
      </c>
    </row>
    <row r="76" spans="1:2">
      <c r="B76">
        <v>5</v>
      </c>
    </row>
    <row r="77" spans="1:2">
      <c r="B77">
        <v>6</v>
      </c>
    </row>
    <row r="78" spans="1:2">
      <c r="B78">
        <v>7</v>
      </c>
    </row>
    <row r="79" spans="1:2">
      <c r="B79">
        <v>8</v>
      </c>
    </row>
    <row r="80" spans="1:2">
      <c r="B80">
        <v>9</v>
      </c>
    </row>
    <row r="81" spans="2:2">
      <c r="B81">
        <v>10</v>
      </c>
    </row>
    <row r="82" spans="2:2">
      <c r="B82">
        <v>11</v>
      </c>
    </row>
    <row r="83" spans="2:2">
      <c r="B83">
        <v>12</v>
      </c>
    </row>
    <row r="84" spans="2:2">
      <c r="B84">
        <v>13</v>
      </c>
    </row>
    <row r="85" spans="2:2">
      <c r="B85">
        <v>14</v>
      </c>
    </row>
    <row r="86" spans="2:2">
      <c r="B86">
        <v>15</v>
      </c>
    </row>
    <row r="87" spans="2:2">
      <c r="B87">
        <v>16</v>
      </c>
    </row>
    <row r="88" spans="2:2">
      <c r="B88">
        <v>17</v>
      </c>
    </row>
    <row r="89" spans="2:2">
      <c r="B89">
        <v>18</v>
      </c>
    </row>
    <row r="90" spans="2:2">
      <c r="B90">
        <v>19</v>
      </c>
    </row>
    <row r="91" spans="2:2">
      <c r="B91">
        <v>20</v>
      </c>
    </row>
    <row r="92" spans="2:2">
      <c r="B92">
        <v>21</v>
      </c>
    </row>
    <row r="93" spans="2:2">
      <c r="B93">
        <v>22</v>
      </c>
    </row>
    <row r="94" spans="2:2">
      <c r="B94">
        <v>23</v>
      </c>
    </row>
    <row r="95" spans="2:2">
      <c r="B95">
        <v>24</v>
      </c>
    </row>
    <row r="96" spans="2:2">
      <c r="B96">
        <v>25</v>
      </c>
    </row>
    <row r="97" spans="2:2">
      <c r="B97">
        <v>26</v>
      </c>
    </row>
    <row r="98" spans="2:2">
      <c r="B98">
        <v>27</v>
      </c>
    </row>
    <row r="99" spans="2:2">
      <c r="B99">
        <v>28</v>
      </c>
    </row>
  </sheetData>
  <sheetProtection algorithmName="SHA-512" hashValue="btMggDgDbcO2Ui/VMwkbfGjvhaIvPCK9oY455vQ1VlW73wPxhF88Di7ZPyX3Z/hLz/jibWZ/wuSDrv5/Wq+vPA==" saltValue="PtAabc2ZV92mCyUz4/JgGA==" spinCount="100000" sheet="1" objects="1"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3" master="" otherUserPermission="visible"/>
  <rangeList sheetStid="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13</vt:i4>
      </vt:variant>
    </vt:vector>
  </HeadingPairs>
  <TitlesOfParts>
    <vt:vector size="16" baseType="lpstr">
      <vt:lpstr>Sheet1</vt:lpstr>
      <vt:lpstr>ku</vt:lpstr>
      <vt:lpstr>Data Source</vt:lpstr>
      <vt:lpstr>Sheet1!Print_Area</vt:lpstr>
      <vt:lpstr>单相空开</vt:lpstr>
      <vt:lpstr>机构电源</vt:lpstr>
      <vt:lpstr>加热来自非电机电源</vt:lpstr>
      <vt:lpstr>控制来自非电机电源</vt:lpstr>
      <vt:lpstr>两相空开</vt:lpstr>
      <vt:lpstr>配电流继电器实现闭锁</vt:lpstr>
      <vt:lpstr>三相电机_3AC</vt:lpstr>
      <vt:lpstr>三相电机_3ACN</vt:lpstr>
      <vt:lpstr>三相电机_3ACN频率_50</vt:lpstr>
      <vt:lpstr>三相电机_3ACN频率_60</vt:lpstr>
      <vt:lpstr>三相电机_3AC频率_50</vt:lpstr>
      <vt:lpstr>三相电机_3AC频率_60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张傲星</dc:creator>
  <cp:lastModifiedBy>徐 洪</cp:lastModifiedBy>
  <cp:lastPrinted>2026-04-22T00:55:00Z</cp:lastPrinted>
  <dcterms:created xsi:type="dcterms:W3CDTF">2023-05-12T11:15:00Z</dcterms:created>
  <dcterms:modified xsi:type="dcterms:W3CDTF">2026-05-19T06:04:18Z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3A55FE8847934E5F8FB70E4BFBE6D0E4_13</vt:lpwstr>
  </property>
  <property fmtid="{D5CDD505-2E9C-101B-9397-08002B2CF9AE}" pid="4" name="KSOReadingLayout">
    <vt:bool>false</vt:bool>
  </property>
  <property fmtid="{D5CDD505-2E9C-101B-9397-08002B2CF9AE}" pid="5" name="CalculationRule">
    <vt:i4>0</vt:i4>
  </property>
</Properties>
</file>