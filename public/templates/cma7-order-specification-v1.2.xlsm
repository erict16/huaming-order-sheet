
<file path=[Content_Types].xml><?xml version="1.0" encoding="utf-8"?>
<Types xmlns="http://schemas.openxmlformats.org/package/2006/content-types">
  <Default Extension="xml" ContentType="application/xml"/>
  <Default Extension="wmf" ContentType="image/x-wmf"/>
  <Default Extension="vml" ContentType="application/vnd.openxmlformats-officedocument.vmlDrawing"/>
  <Default Extension="emf" ContentType="image/x-e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thumbnail" Target="docProps/thumbnail.wmf"/><Relationship Id="rId4" Type="http://schemas.openxmlformats.org/package/2006/relationships/metadata/core-properties" Target="docProps/core.xml"/><Relationship Id="rId3" Type="http://schemas.openxmlformats.org/officeDocument/2006/relationships/extended-properties" Target="docProps/app.xml"/><Relationship Id="rId5"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0751" windowHeight="10491"/>
  </bookViews>
  <sheets>
    <sheet name="Sheet1" sheetId="1" r:id="rId1"/>
    <sheet name="ku" sheetId="3" state="hidden" r:id="rId2"/>
    <sheet name="Data Source" sheetId="4" state="hidden" r:id="rId3"/>
  </sheets>
  <definedNames>
    <definedName name="_xlnm._FilterDatabase" localSheetId="0" hidden="1">Sheet1!$AD$53:$AE$59</definedName>
    <definedName name="_xleta.NOW" hidden="1" xlm="1" functionGroupId="14">#NAME?</definedName>
    <definedName name="_xlnm.Print_Area" localSheetId="0">Sheet1!$A$1:$AJ$89</definedName>
    <definedName name="SHM_KX">ku!$E$204:$F$204</definedName>
    <definedName name="不配配电压监视继电器">ku!$F$47</definedName>
    <definedName name="单相电机_AC">ku!$B$10:$C$10</definedName>
    <definedName name="单相电机_AC频率_50">ku!$B$18:$H$18</definedName>
    <definedName name="单相电机_AC频率_60">ku!$B$19:$H$19</definedName>
    <definedName name="单相空开">ku!$B$43:$D$43</definedName>
    <definedName name="底部图">INDEX(ku!$T:$T,MATCH(Sheet1!$H$70,ku!$S:$S,0))</definedName>
    <definedName name="电机回路电源">ku!$A$2:$A$5</definedName>
    <definedName name="辅助回路电源插座">ku!$A$148:$A$149</definedName>
    <definedName name="加热单相空开">ku!$B$95:$C$95</definedName>
    <definedName name="加热单相空开带信号输出">ku!$B$99:$C$99</definedName>
    <definedName name="加热回路保护">ku!$A$90:$A$92</definedName>
    <definedName name="加热来自非电机电源">ku!$B$85:$I$85</definedName>
    <definedName name="加热两相空开">ku!$B$96:$C$96</definedName>
    <definedName name="加热两相空开带信号输出">ku!$B$100:$C$100</definedName>
    <definedName name="控制回路保护">ku!$A$38:$A$40</definedName>
    <definedName name="控制回路电压监视">ku!$E$47:$E$48</definedName>
    <definedName name="控制回路电源">ku!$A$29:$A$30</definedName>
    <definedName name="控制来自非电机电源">ku!$B$34:$K$34</definedName>
    <definedName name="控制器">ku!$B$205:$B$206</definedName>
    <definedName name="两相空开">ku!$B$44:$D$44</definedName>
    <definedName name="配电流继电器实现闭锁">ku!$B$67:$C$67</definedName>
    <definedName name="配电压监视继电器">ku!$F$48</definedName>
    <definedName name="配含漏电保护开关">ku!$B$152:$J$152</definedName>
    <definedName name="三相电机_3AC">ku!$B$9:$C$9</definedName>
    <definedName name="三相电机_3ACN">ku!$B$8:$C$8</definedName>
    <definedName name="三相电机_3ACN频率_50">ku!$B$14:$I$14</definedName>
    <definedName name="三相电机_3ACN频率_60">ku!$B$15:$I$15</definedName>
    <definedName name="三相电机_3AC频率_50">ku!$B$16:$I$16</definedName>
    <definedName name="三相电机_3AC频率_60">ku!$B$17:$I$17</definedName>
    <definedName name="位置传输一对一信号">ku!$A$163:$A$165</definedName>
    <definedName name="先断后合">ku!$B$169:$E$169</definedName>
    <definedName name="先合后断">ku!$B$170:$E$170</definedName>
    <definedName name="直流电机_DC">ku!$B$11</definedName>
    <definedName name="直流电机_DC频率_DC">ku!$B$20:$D$20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16520</author>
  </authors>
  <commentList>
    <comment ref="C41" authorId="0">
      <text>
        <r>
          <rPr>
            <sz val="10"/>
            <rFont val="Times New Roman"/>
            <charset val="134"/>
          </rPr>
          <t>Signal Description: The end-position signals indicate when a tap changer reaches the max. and min. position, and the signals are output accordingly.</t>
        </r>
        <r>
          <rPr>
            <sz val="9"/>
            <rFont val="宋体"/>
            <charset val="134"/>
          </rPr>
          <t xml:space="preserve"> </t>
        </r>
      </text>
    </comment>
    <comment ref="C42" authorId="0">
      <text>
        <r>
          <rPr>
            <sz val="10"/>
            <rFont val="Times New Roman"/>
            <charset val="134"/>
          </rPr>
          <t>Signal Description: The hand crank operation signal is output when the hand crank is inserted into the manual operation port of MDU.</t>
        </r>
      </text>
    </comment>
    <comment ref="C43" authorId="0">
      <text>
        <r>
          <rPr>
            <sz val="10"/>
            <rFont val="Times New Roman"/>
            <charset val="134"/>
          </rPr>
          <t>Signal Description:The operating status signal of MDU is output by a cam-driven microswitch.</t>
        </r>
      </text>
    </comment>
    <comment ref="C44" authorId="0">
      <text>
        <r>
          <rPr>
            <sz val="10"/>
            <rFont val="Times New Roman"/>
            <charset val="134"/>
          </rPr>
          <t xml:space="preserve">Signal Description: Signal output occurs when the tap changer fails to switch to the designated position within the specified time.
</t>
        </r>
      </text>
    </comment>
    <comment ref="C45" authorId="0">
      <text>
        <r>
          <rPr>
            <sz val="10"/>
            <rFont val="Times New Roman"/>
            <charset val="134"/>
          </rPr>
          <t>Signal Description: The opening and closing status signals of the motor protection switch Q1.</t>
        </r>
        <r>
          <rPr>
            <sz val="9"/>
            <rFont val="宋体"/>
            <charset val="134"/>
          </rPr>
          <t xml:space="preserve">
</t>
        </r>
      </text>
    </comment>
    <comment ref="C46" authorId="0">
      <text>
        <r>
          <rPr>
            <sz val="10"/>
            <rFont val="Times New Roman"/>
            <charset val="134"/>
          </rPr>
          <t>Signal Description: The raise signal is output when MDU moves from pos.1 to pos.N, while the lower signal is output when MDU moves from pos. N to pos.1.</t>
        </r>
      </text>
    </comment>
  </commentList>
</comments>
</file>

<file path=xl/sharedStrings.xml><?xml version="1.0" encoding="utf-8"?>
<sst xmlns="http://schemas.openxmlformats.org/spreadsheetml/2006/main" count="1309" uniqueCount="734">
  <si>
    <t>CMA7 motor drive order specification</t>
  </si>
  <si>
    <t>HMJG7.V1.2</t>
  </si>
  <si>
    <t xml:space="preserve">    Index:</t>
  </si>
  <si>
    <t>Rev. 00</t>
  </si>
  <si>
    <t>HM document No.:</t>
  </si>
  <si>
    <r>
      <rPr>
        <b/>
        <sz val="12"/>
        <color theme="1"/>
        <rFont val="Times New Roman"/>
        <charset val="134"/>
      </rPr>
      <t xml:space="preserve">           Instructions for completing the Excel Form
</t>
    </r>
    <r>
      <rPr>
        <sz val="11"/>
        <rFont val="Times New Roman"/>
        <charset val="134"/>
      </rPr>
      <t>1.</t>
    </r>
    <r>
      <rPr>
        <sz val="11"/>
        <color rgb="FFFF0000"/>
        <rFont val="Times New Roman"/>
        <charset val="134"/>
      </rPr>
      <t xml:space="preserve"> Please ensure that Macros are enabled in Excel for this workbook to function properly.</t>
    </r>
    <r>
      <rPr>
        <b/>
        <sz val="12"/>
        <color theme="1"/>
        <rFont val="Times New Roman"/>
        <charset val="134"/>
      </rPr>
      <t xml:space="preserve">
</t>
    </r>
    <r>
      <rPr>
        <sz val="11"/>
        <color theme="1"/>
        <rFont val="Times New Roman"/>
        <charset val="134"/>
      </rPr>
      <t xml:space="preserve">2. </t>
    </r>
    <r>
      <rPr>
        <sz val="11"/>
        <color rgb="FFFF0000"/>
        <rFont val="Times New Roman"/>
        <charset val="134"/>
      </rPr>
      <t xml:space="preserve">Blue-highlighted cells indicate optional fields 
   — you may fill them in if applicable. </t>
    </r>
    <r>
      <rPr>
        <sz val="11"/>
        <color theme="1"/>
        <rFont val="Times New Roman"/>
        <charset val="134"/>
      </rPr>
      <t xml:space="preserve">  
3. Use the "RESET" button carefully , it will reset all fields to the standard configuration provided by Huaming.
4. Std. : HM Standard Provided.</t>
    </r>
    <r>
      <rPr>
        <sz val="11"/>
        <color rgb="FFFF0000"/>
        <rFont val="Times New Roman"/>
        <charset val="134"/>
      </rPr>
      <t xml:space="preserve">
</t>
    </r>
    <r>
      <rPr>
        <sz val="11"/>
        <rFont val="Times New Roman"/>
        <charset val="134"/>
      </rPr>
      <t>5. If there have been any prior inquiries regarding pricing or drawings, or if similar project products have already been ordered, please provide the relevant information together with this specification document.
6. The purchaser shall be responsible for the completeness and accuracy of the technical specifications provided herein.</t>
    </r>
    <r>
      <rPr>
        <sz val="11"/>
        <color rgb="FFFF0000"/>
        <rFont val="Times New Roman"/>
        <charset val="134"/>
      </rPr>
      <t xml:space="preserve">
</t>
    </r>
    <r>
      <rPr>
        <sz val="11"/>
        <rFont val="Times New Roman"/>
        <charset val="134"/>
      </rPr>
      <t>7. If HMIET/HMJK/ZXJY units need to be purchased, please complete a separate order specification for them.</t>
    </r>
  </si>
  <si>
    <t>Name:</t>
  </si>
  <si>
    <t>Date:</t>
  </si>
  <si>
    <t>Transformer designer</t>
  </si>
  <si>
    <t>Tel:</t>
  </si>
  <si>
    <t>Email:</t>
  </si>
  <si>
    <t>General information</t>
  </si>
  <si>
    <t>Purchaser:</t>
  </si>
  <si>
    <t>End user:</t>
  </si>
  <si>
    <t>国内/出口:</t>
  </si>
  <si>
    <t>2. 出口</t>
  </si>
  <si>
    <t>中国省份:</t>
  </si>
  <si>
    <t>Country of installation:</t>
  </si>
  <si>
    <t>Quantity:</t>
  </si>
  <si>
    <t>Application:</t>
  </si>
  <si>
    <t>Project No.:</t>
  </si>
  <si>
    <t>PO No.:</t>
  </si>
  <si>
    <t>交货日期:</t>
  </si>
  <si>
    <t>交货地点:</t>
  </si>
  <si>
    <t>Motor drive specification</t>
  </si>
  <si>
    <t>Model:</t>
  </si>
  <si>
    <t>CMA7</t>
  </si>
  <si>
    <t>Number of operating positions:</t>
  </si>
  <si>
    <t>Designation of positions:</t>
  </si>
  <si>
    <t>Max. effective number of turns at position (   )</t>
  </si>
  <si>
    <t>Mid-position(s) (   )
stop at position (   )</t>
  </si>
  <si>
    <t>Min. effective number of turns at position (   )</t>
  </si>
  <si>
    <r>
      <t>Example</t>
    </r>
    <r>
      <rPr>
        <i/>
        <sz val="11"/>
        <color theme="1"/>
        <rFont val="宋体"/>
        <charset val="134"/>
      </rPr>
      <t>：</t>
    </r>
    <r>
      <rPr>
        <i/>
        <sz val="11"/>
        <color theme="1"/>
        <rFont val="Times New Roman"/>
        <charset val="134"/>
      </rPr>
      <t>10193W</t>
    </r>
  </si>
  <si>
    <t>Max. effective number of turns at position ( 1 )</t>
  </si>
  <si>
    <t>Mid-position(s) ( 9a9b9c  )
stop at position ( 9b  )</t>
  </si>
  <si>
    <t>Min. effective number of turns at position ( 17 )</t>
  </si>
  <si>
    <t xml:space="preserve">                Motor circuit</t>
  </si>
  <si>
    <t>Power system</t>
  </si>
  <si>
    <t>Power</t>
  </si>
  <si>
    <t>1. Three-phase motor_3ACN</t>
  </si>
  <si>
    <t>Frequency Hz</t>
  </si>
  <si>
    <t>1. frequency_50</t>
  </si>
  <si>
    <t>Voltage V</t>
  </si>
  <si>
    <t>电压监视</t>
  </si>
  <si>
    <t>不配-标配</t>
  </si>
  <si>
    <t xml:space="preserve">           Control circuit</t>
  </si>
  <si>
    <t xml:space="preserve">Power supply
</t>
  </si>
  <si>
    <t>1. Supply from motor circuit-std.</t>
  </si>
  <si>
    <t>Protection(Q2)</t>
  </si>
  <si>
    <t>1. Without-std.</t>
  </si>
  <si>
    <t>Protective signal(Q2)</t>
  </si>
  <si>
    <t>Selector switch signal</t>
  </si>
  <si>
    <t>With Remote/Local signal</t>
  </si>
  <si>
    <t>Over-current blocking</t>
  </si>
  <si>
    <t>1 N/C input-std.</t>
  </si>
  <si>
    <t>Temperature blocking</t>
  </si>
  <si>
    <t>Without-std.</t>
  </si>
  <si>
    <t xml:space="preserve">                Heating circuit</t>
  </si>
  <si>
    <t>Protection(Q3)</t>
  </si>
  <si>
    <t>Protective signal(Q3)</t>
  </si>
  <si>
    <t>1. Without signal output</t>
  </si>
  <si>
    <t>Heater(R1)</t>
  </si>
  <si>
    <t>Continuous operation heater-std.</t>
  </si>
  <si>
    <t xml:space="preserve">                Auxiliary circuit</t>
  </si>
  <si>
    <t>Hand lamp(H4)</t>
  </si>
  <si>
    <t>With-std.</t>
  </si>
  <si>
    <t>Status Signal Output</t>
  </si>
  <si>
    <t>End-position signaling switch(S16,S17)</t>
  </si>
  <si>
    <t>Hand crank signaling 
switch(S18)</t>
  </si>
  <si>
    <t>Cam-operated switch(S20)</t>
  </si>
  <si>
    <t>Signal for incomplete tap changer(S21,KT)</t>
  </si>
  <si>
    <t>Motor protective signal(Q1)</t>
  </si>
  <si>
    <t>1 N/C-std.</t>
  </si>
  <si>
    <t>上升、下降信号</t>
  </si>
  <si>
    <t xml:space="preserve"> Socket</t>
  </si>
  <si>
    <t>Socket Specification</t>
  </si>
  <si>
    <t xml:space="preserve">                Position transmitter</t>
  </si>
  <si>
    <t>BCD encoder</t>
  </si>
  <si>
    <t>4-20mA</t>
  </si>
  <si>
    <t>N/O contact range</t>
  </si>
  <si>
    <t>break before make</t>
  </si>
  <si>
    <t>make before break</t>
  </si>
  <si>
    <t xml:space="preserve">Resistor </t>
  </si>
  <si>
    <t>I</t>
  </si>
  <si>
    <t>resistance/pos.</t>
  </si>
  <si>
    <t>Qty.</t>
  </si>
  <si>
    <t>for 1st pos.</t>
  </si>
  <si>
    <t>II</t>
  </si>
  <si>
    <t xml:space="preserve">               Postion Indicator/ Controller(AVR) </t>
  </si>
  <si>
    <t>Controller</t>
  </si>
  <si>
    <t>Without</t>
  </si>
  <si>
    <t>HMC-3C</t>
  </si>
  <si>
    <t>Power Supply: 85~265VAC/DC​
-​Tap position display​ 
​-Manual control buttons: Raise, Lower, Stop 
-​BCD-encoded position signal output​
-​Motor-drive BCD position signal input</t>
  </si>
  <si>
    <t>SHM_KX</t>
  </si>
  <si>
    <r>
      <rPr>
        <sz val="11"/>
        <color theme="1"/>
        <rFont val="Times New Roman"/>
        <charset val="134"/>
      </rPr>
      <t>​Power Supply: 85~265VAC / 110V~300VDC​
​-Tap position display
​-</t>
    </r>
    <r>
      <rPr>
        <sz val="11"/>
        <color rgb="FFFF0000"/>
        <rFont val="Times New Roman"/>
        <charset val="134"/>
      </rPr>
      <t>Automatic voltage regulation &amp; parallel operation</t>
    </r>
    <r>
      <rPr>
        <sz val="11"/>
        <color theme="1"/>
        <rFont val="Times New Roman"/>
        <charset val="134"/>
      </rPr>
      <t>​
-​Voltage sampling: 40-140V AC
​-Current sampling: 1A or 5A
​-Tap position input: BCD code, 4-20mA
​-Tap position output: BCD code
​-Communication interfaces: RJ45 Ethernet port, RS485
​-Communication protocols: Modbus, IEC 61850, DNP3.0, etc.
-​Maximum parallel units: 8</t>
    </r>
  </si>
  <si>
    <t>HMIET-I</t>
  </si>
  <si>
    <r>
      <rPr>
        <sz val="11"/>
        <color theme="1"/>
        <rFont val="Times New Roman"/>
        <charset val="134"/>
      </rPr>
      <t>Power Supply: 85~265VAC/DC​
-​Tap position display​
-</t>
    </r>
    <r>
      <rPr>
        <sz val="11"/>
        <color rgb="FFFF0000"/>
        <rFont val="Times New Roman"/>
        <charset val="134"/>
      </rPr>
      <t>​Automatic voltage regulation &amp; parallel operation</t>
    </r>
    <r>
      <rPr>
        <sz val="11"/>
        <color theme="1"/>
        <rFont val="Times New Roman"/>
        <charset val="134"/>
      </rPr>
      <t>​
​-Voltage sampling: 0-140V AC
​-Current sampling: 0-10A
-​Tap position input: BCD code, 4-20mA
​-Tap position output: BCD code
​-Communication interfaces: RS485, RJ45 Ethernet port, or fiber optic port
​-Communication protocols: Modbus, IEC 61850, DNP3.0, etc.
​-Maximum parallel units: 6
-​Line drop compensation 
-​Customizable special functions (upon request)​</t>
    </r>
  </si>
  <si>
    <t>控制电缆</t>
  </si>
  <si>
    <t>1. 不配-标配</t>
  </si>
  <si>
    <t>操作控制电缆</t>
  </si>
  <si>
    <r>
      <rPr>
        <sz val="11"/>
        <color theme="1"/>
        <rFont val="宋体"/>
        <charset val="134"/>
      </rPr>
      <t>长度</t>
    </r>
    <r>
      <rPr>
        <sz val="11"/>
        <color theme="1"/>
        <rFont val="Times New Roman"/>
        <charset val="134"/>
      </rPr>
      <t>(m)</t>
    </r>
  </si>
  <si>
    <t>供货长度</t>
  </si>
  <si>
    <t>档位显示电缆</t>
  </si>
  <si>
    <t>Mechanical details/miscellaneous</t>
  </si>
  <si>
    <t>Door hinges</t>
  </si>
  <si>
    <t>Left-hand</t>
  </si>
  <si>
    <t>Bottom plate</t>
  </si>
  <si>
    <t>2xΦ50 hole-std.</t>
  </si>
  <si>
    <t>Cable glands</t>
  </si>
  <si>
    <t>端子布置形式</t>
  </si>
  <si>
    <t>按华明标准形式</t>
  </si>
  <si>
    <t>Door padlock</t>
  </si>
  <si>
    <t>接地铜牌</t>
  </si>
  <si>
    <t>Color of paint</t>
  </si>
  <si>
    <t>RAL7040-std.</t>
  </si>
  <si>
    <t>Corrosive class</t>
  </si>
  <si>
    <t>C5-M-std.</t>
  </si>
  <si>
    <t>Language of documentation</t>
  </si>
  <si>
    <t>English</t>
  </si>
  <si>
    <t>Set</t>
  </si>
  <si>
    <t>Language of rating plate</t>
  </si>
  <si>
    <t>Terminal type</t>
  </si>
  <si>
    <t>Phoenix</t>
  </si>
  <si>
    <t>配线</t>
  </si>
  <si>
    <t>颜色</t>
  </si>
  <si>
    <t>华明标准</t>
  </si>
  <si>
    <t>规范</t>
  </si>
  <si>
    <t>Remark</t>
  </si>
  <si>
    <t>Prepared by</t>
  </si>
  <si>
    <t>Check by</t>
  </si>
  <si>
    <t>Approved by</t>
  </si>
  <si>
    <r>
      <rPr>
        <sz val="11"/>
        <color theme="1"/>
        <rFont val="Times New Roman"/>
        <charset val="134"/>
      </rPr>
      <t xml:space="preserve">
                            </t>
    </r>
    <r>
      <rPr>
        <b/>
        <sz val="11"/>
        <color theme="1"/>
        <rFont val="Times New Roman"/>
        <charset val="134"/>
      </rPr>
      <t xml:space="preserve"> </t>
    </r>
    <r>
      <rPr>
        <b/>
        <sz val="12"/>
        <color rgb="FFFF0000"/>
        <rFont val="Times New Roman"/>
        <charset val="134"/>
      </rPr>
      <t xml:space="preserve"> When placing an order, please return this Excel file to Huaming.</t>
    </r>
  </si>
  <si>
    <t>电机回路电源</t>
  </si>
  <si>
    <t>3-phase motor_3ACN</t>
  </si>
  <si>
    <t>Dummy plate</t>
  </si>
  <si>
    <t>3-phase motor_3AC</t>
  </si>
  <si>
    <t>底部出线孔</t>
  </si>
  <si>
    <t>For other specific requirements, the drawing provided by the customer is necessary</t>
  </si>
  <si>
    <t>1-phase motor_AC</t>
  </si>
  <si>
    <t>DC motor_DC</t>
  </si>
  <si>
    <t>电机回路频率</t>
  </si>
  <si>
    <t>2xM20;2xM25;2xM50</t>
  </si>
  <si>
    <t>frequency_50</t>
  </si>
  <si>
    <t>frequency_60</t>
  </si>
  <si>
    <t>4xM20;4xM25;2xM50</t>
  </si>
  <si>
    <t>2xM20;3xM25;2xM40</t>
  </si>
  <si>
    <t>6xM25;2xM32;3xM40</t>
  </si>
  <si>
    <t>frequency_DC</t>
  </si>
  <si>
    <t>电机回路电压</t>
  </si>
  <si>
    <t>3-phase motor_3ACNfrequency_50</t>
  </si>
  <si>
    <t>Other( )</t>
  </si>
  <si>
    <t>3-phase motor_3ACNfrequency_60</t>
  </si>
  <si>
    <t>3-phase motor_3ACfrequency_50</t>
  </si>
  <si>
    <t>3-phase motor_3ACfrequency_60</t>
  </si>
  <si>
    <t>1-phase motor_ACfrequency_50</t>
  </si>
  <si>
    <t>1-phase motor_ACfrequency_60</t>
  </si>
  <si>
    <t>DC motor_DCfrequency_DC</t>
  </si>
  <si>
    <t>电机回路电压监视</t>
  </si>
  <si>
    <t>amount</t>
  </si>
  <si>
    <t>配</t>
  </si>
  <si>
    <t>控制回路电源</t>
  </si>
  <si>
    <t>Supply from motor circuit</t>
  </si>
  <si>
    <t>Separate from motor circuit</t>
  </si>
  <si>
    <t>Voltage of separate power</t>
  </si>
  <si>
    <t xml:space="preserve">Control circuit supply from separate power </t>
  </si>
  <si>
    <t>120V AC</t>
  </si>
  <si>
    <t>127V AC</t>
  </si>
  <si>
    <t>220V AC</t>
  </si>
  <si>
    <t>230V AC</t>
  </si>
  <si>
    <t>240V AC</t>
  </si>
  <si>
    <t>48V DC</t>
  </si>
  <si>
    <t>110V DC</t>
  </si>
  <si>
    <t>125V DC</t>
  </si>
  <si>
    <t>220V DC</t>
  </si>
  <si>
    <t>Other（  ）V</t>
  </si>
  <si>
    <t>控制回路保护</t>
  </si>
  <si>
    <t>1-pole miniature circuit breaker</t>
  </si>
  <si>
    <t>2-pole miniature circuit breaker</t>
  </si>
  <si>
    <t>控制回路保护空开</t>
  </si>
  <si>
    <t>Without signal output</t>
  </si>
  <si>
    <t>With 1 N/C signal output</t>
  </si>
  <si>
    <t>控制回路保护空开信号数量</t>
  </si>
  <si>
    <t>控制回路电压监视</t>
  </si>
  <si>
    <t>Control circuit 1-pole MCB signal ouput</t>
  </si>
  <si>
    <t>Qty. 1</t>
  </si>
  <si>
    <t>Other（ ）</t>
  </si>
  <si>
    <t>Control circuit 2-pole MCB signal ouput</t>
  </si>
  <si>
    <t>控制回路转换开关</t>
  </si>
  <si>
    <t>One set of Remote/Off/Local signal</t>
  </si>
  <si>
    <t>Two sets of Remote/Local signal</t>
  </si>
  <si>
    <t>Two sets of Remote/Off/Local signal</t>
  </si>
  <si>
    <t>控制回路过流闭锁</t>
  </si>
  <si>
    <t xml:space="preserve">1 N/O input </t>
  </si>
  <si>
    <t>Over-current blocking by current relay</t>
  </si>
  <si>
    <t>without signal</t>
  </si>
  <si>
    <t>with signal</t>
  </si>
  <si>
    <t>低温闭锁</t>
  </si>
  <si>
    <t>From PT100 mounted on tap changer</t>
  </si>
  <si>
    <t>From PT100 mounted on tap changer,with 4-20mA signal output</t>
  </si>
  <si>
    <t>From BWTY mounted on tap changer</t>
  </si>
  <si>
    <t>From PT100 mounted on tap changer,with 2x(4-20mA)signals output</t>
  </si>
  <si>
    <t>加热回路电源</t>
  </si>
  <si>
    <t xml:space="preserve">Heating circuit supply from separate power </t>
  </si>
  <si>
    <t>加热回路保护</t>
  </si>
  <si>
    <t>加热回路保护空开</t>
  </si>
  <si>
    <t>加热回路保护空开信号数量</t>
  </si>
  <si>
    <t>Heating circuit 1-pole MCB signal ouput</t>
  </si>
  <si>
    <t>Heating circuit 2-pole MCB signal ouput</t>
  </si>
  <si>
    <t>Heater</t>
  </si>
  <si>
    <t>Heater with thermostat</t>
  </si>
  <si>
    <t>Heater with Temperature and Humidity controller</t>
  </si>
  <si>
    <t>Two heaters</t>
  </si>
  <si>
    <t>辅助回路手灯</t>
  </si>
  <si>
    <t>辅助回路状态信号输出</t>
  </si>
  <si>
    <t>End-position signaling switch</t>
  </si>
  <si>
    <t xml:space="preserve"> N/O</t>
  </si>
  <si>
    <t xml:space="preserve"> C/O</t>
  </si>
  <si>
    <t>Hand crank signaling switch</t>
  </si>
  <si>
    <t>1 N/O</t>
  </si>
  <si>
    <t>1 C/O</t>
  </si>
  <si>
    <t>Cam-operated switch</t>
  </si>
  <si>
    <t>Signal for incomplete tap changer</t>
  </si>
  <si>
    <t>Motor protective signal</t>
  </si>
  <si>
    <t>1 N/C+1 N/O</t>
  </si>
  <si>
    <t>上升下降信号</t>
  </si>
  <si>
    <t>不配</t>
  </si>
  <si>
    <t>2 N/O</t>
  </si>
  <si>
    <t>辅助回路电源插座</t>
  </si>
  <si>
    <t>配含漏电保护开关</t>
  </si>
  <si>
    <t>Universal</t>
  </si>
  <si>
    <t>European</t>
  </si>
  <si>
    <t>French</t>
  </si>
  <si>
    <t>South African</t>
  </si>
  <si>
    <t>British</t>
  </si>
  <si>
    <t>Australian</t>
  </si>
  <si>
    <t>Brazilian</t>
  </si>
  <si>
    <t>Italian</t>
  </si>
  <si>
    <t>American</t>
  </si>
  <si>
    <t>国标通用插座</t>
  </si>
  <si>
    <t>欧标、法标、英标、澳标、巴西标、意大利标、南非标</t>
  </si>
  <si>
    <t>美标双插位插座</t>
  </si>
  <si>
    <t>位置传输一对一信号</t>
  </si>
  <si>
    <t>无</t>
  </si>
  <si>
    <t>US</t>
  </si>
  <si>
    <t>先断后合</t>
  </si>
  <si>
    <t>先合后断</t>
  </si>
  <si>
    <t>1组</t>
  </si>
  <si>
    <t>2组</t>
  </si>
  <si>
    <t>3组</t>
  </si>
  <si>
    <t>4组</t>
  </si>
  <si>
    <t>BCD码档位信号</t>
  </si>
  <si>
    <t>4-20mA模拟量信号</t>
  </si>
  <si>
    <t>1-5V模拟量信号</t>
  </si>
  <si>
    <t>电阻位置信号</t>
  </si>
  <si>
    <t>每档阻值</t>
  </si>
  <si>
    <t>信号形式</t>
  </si>
  <si>
    <t>电阻位置信号有无</t>
  </si>
  <si>
    <t>起始阻值</t>
  </si>
  <si>
    <t>电阻数量</t>
  </si>
  <si>
    <t>6.2Ω</t>
  </si>
  <si>
    <t>有</t>
  </si>
  <si>
    <t>0Ω</t>
  </si>
  <si>
    <t>10Ω</t>
  </si>
  <si>
    <t>50Ω</t>
  </si>
  <si>
    <t>( )组</t>
  </si>
  <si>
    <t>602Ω</t>
  </si>
  <si>
    <t>1000Ω</t>
  </si>
  <si>
    <t>Other（ ）Ω</t>
  </si>
  <si>
    <t>控制器及电缆</t>
  </si>
  <si>
    <t>控制器</t>
  </si>
  <si>
    <t>标准功能</t>
  </si>
  <si>
    <t>扩展功能</t>
  </si>
  <si>
    <t>HMC-3C(Terminal Type)</t>
  </si>
  <si>
    <r>
      <rPr>
        <sz val="10.5"/>
        <color theme="1"/>
        <rFont val="宋体"/>
        <charset val="134"/>
      </rPr>
      <t xml:space="preserve">电源： </t>
    </r>
    <r>
      <rPr>
        <sz val="10.5"/>
        <color theme="1"/>
        <rFont val="Arial"/>
        <charset val="134"/>
      </rPr>
      <t>85~265V AC/DC</t>
    </r>
  </si>
  <si>
    <t>SHM-KX/ZB</t>
  </si>
  <si>
    <r>
      <rPr>
        <b/>
        <sz val="10.5"/>
        <color rgb="FF0000FF"/>
        <rFont val="宋体"/>
        <charset val="134"/>
      </rPr>
      <t xml:space="preserve">电源： </t>
    </r>
    <r>
      <rPr>
        <b/>
        <sz val="10.5"/>
        <color rgb="FF0000FF"/>
        <rFont val="Arial"/>
        <charset val="134"/>
      </rPr>
      <t>85~265VAC/110V~300VDC</t>
    </r>
  </si>
  <si>
    <t>HMIET-I(Standard Version)</t>
  </si>
  <si>
    <t>机构箱铰链位置</t>
  </si>
  <si>
    <t>标准（2个Φ50孔）</t>
  </si>
  <si>
    <t>Right-hand</t>
  </si>
  <si>
    <t>按国网标准形式</t>
  </si>
  <si>
    <t>盲板不开孔</t>
  </si>
  <si>
    <t>其他开孔要求，客户提供图纸</t>
  </si>
  <si>
    <t>机构箱门锁</t>
  </si>
  <si>
    <t>With</t>
  </si>
  <si>
    <t>资料</t>
  </si>
  <si>
    <t>Russian</t>
  </si>
  <si>
    <t>Spanish</t>
  </si>
  <si>
    <t>Portuguese</t>
  </si>
  <si>
    <t>铭牌</t>
  </si>
  <si>
    <t>机构箱油漆颜色</t>
  </si>
  <si>
    <t>RAL7031</t>
  </si>
  <si>
    <t>RAL7032</t>
  </si>
  <si>
    <t>RAL7033</t>
  </si>
  <si>
    <t>RAL7035</t>
  </si>
  <si>
    <t>BS381C(632)</t>
  </si>
  <si>
    <t>Munsell 6.5</t>
  </si>
  <si>
    <t>ANSI 70</t>
  </si>
  <si>
    <t>Other(  )</t>
  </si>
  <si>
    <t>防腐等级</t>
  </si>
  <si>
    <t>C4-H</t>
  </si>
  <si>
    <t>C4-VH</t>
  </si>
  <si>
    <t>C5-H</t>
  </si>
  <si>
    <t>C5-VH</t>
  </si>
  <si>
    <t>接线端子型号</t>
  </si>
  <si>
    <t>魏德米勒</t>
  </si>
  <si>
    <t>其他（ ）</t>
  </si>
  <si>
    <t>版本号</t>
  </si>
  <si>
    <t>Rev. 01</t>
  </si>
  <si>
    <t>Rev. 02</t>
  </si>
  <si>
    <t>Rev. 03</t>
  </si>
  <si>
    <t>Rev. 04</t>
  </si>
  <si>
    <t>Rev. 05</t>
  </si>
  <si>
    <t>Rev. 06</t>
  </si>
  <si>
    <t>Rev. 07</t>
  </si>
  <si>
    <t>Rev. 08</t>
  </si>
  <si>
    <t>Rev. 09</t>
  </si>
  <si>
    <t>接线端子颜色</t>
  </si>
  <si>
    <t>灰色</t>
  </si>
  <si>
    <t>黄色</t>
  </si>
  <si>
    <t>底板出线孔防水接头</t>
  </si>
  <si>
    <t>配线颜色</t>
  </si>
  <si>
    <t>配线规格</t>
  </si>
  <si>
    <t>中国省份</t>
  </si>
  <si>
    <t>国内/出口</t>
  </si>
  <si>
    <t>北京</t>
  </si>
  <si>
    <t>国内</t>
  </si>
  <si>
    <t>上海</t>
  </si>
  <si>
    <t>出口</t>
  </si>
  <si>
    <t>天津</t>
  </si>
  <si>
    <t>重庆</t>
  </si>
  <si>
    <t>浙江</t>
  </si>
  <si>
    <t>安徽</t>
  </si>
  <si>
    <t>江西</t>
  </si>
  <si>
    <t>福建</t>
  </si>
  <si>
    <t>广东</t>
  </si>
  <si>
    <t>广西</t>
  </si>
  <si>
    <t>山东</t>
  </si>
  <si>
    <t>山西</t>
  </si>
  <si>
    <t>湖南</t>
  </si>
  <si>
    <t>湖北</t>
  </si>
  <si>
    <t>河南</t>
  </si>
  <si>
    <t>河北</t>
  </si>
  <si>
    <t>陕西</t>
  </si>
  <si>
    <t>新疆</t>
  </si>
  <si>
    <t>辽宁</t>
  </si>
  <si>
    <t>黑龙江</t>
  </si>
  <si>
    <t>吉林</t>
  </si>
  <si>
    <t>内蒙古</t>
  </si>
  <si>
    <t>宁夏</t>
  </si>
  <si>
    <t>甘肃</t>
  </si>
  <si>
    <t>青海</t>
  </si>
  <si>
    <t>四川</t>
  </si>
  <si>
    <t>贵州</t>
  </si>
  <si>
    <t>云南</t>
  </si>
  <si>
    <t>江苏</t>
  </si>
  <si>
    <t>海南</t>
  </si>
  <si>
    <t>广西壮族</t>
  </si>
  <si>
    <t>宁夏回族</t>
  </si>
  <si>
    <t>新疆维吾尔</t>
  </si>
  <si>
    <t>台湾</t>
  </si>
  <si>
    <t>香港</t>
  </si>
  <si>
    <t>澳门</t>
  </si>
  <si>
    <t>配一块接地铜排，加绝缘件支撑</t>
  </si>
  <si>
    <t>配二块接地铜排，加绝缘件支撑</t>
  </si>
  <si>
    <t>应用场景:</t>
  </si>
  <si>
    <t>Network</t>
  </si>
  <si>
    <t>Industry</t>
  </si>
  <si>
    <t>Other</t>
  </si>
  <si>
    <t>电源系统-电源</t>
  </si>
  <si>
    <t>文本提示信息</t>
  </si>
  <si>
    <t>请从下拉列表中选择</t>
  </si>
  <si>
    <t>版本号:</t>
  </si>
  <si>
    <t>D2</t>
  </si>
  <si>
    <t>R2</t>
  </si>
  <si>
    <t>:</t>
  </si>
  <si>
    <t>D2:R2</t>
  </si>
  <si>
    <t>W1</t>
  </si>
  <si>
    <t>Range("</t>
  </si>
  <si>
    <t>").Value = ThisWorkbook.Sheets("Data Source").Range("</t>
  </si>
  <si>
    <t>").Value</t>
  </si>
  <si>
    <t>2. Three-phase motor_3AC</t>
  </si>
  <si>
    <t>请选择列表中的选项！</t>
  </si>
  <si>
    <t>华明订单编号:</t>
  </si>
  <si>
    <t>Z2</t>
  </si>
  <si>
    <t>AJ2</t>
  </si>
  <si>
    <t>Z2:AJ2</t>
  </si>
  <si>
    <t>W2</t>
  </si>
  <si>
    <t>3. Single-phase motor_AC</t>
  </si>
  <si>
    <t>修改人:</t>
  </si>
  <si>
    <t>D3</t>
  </si>
  <si>
    <t>R3</t>
  </si>
  <si>
    <t>D3:R3</t>
  </si>
  <si>
    <t>W3</t>
  </si>
  <si>
    <t>4. DC motor_DC</t>
  </si>
  <si>
    <t>最大匝数位置(   1  )</t>
  </si>
  <si>
    <t>修改日期:</t>
  </si>
  <si>
    <t>Z3</t>
  </si>
  <si>
    <t>AJ3</t>
  </si>
  <si>
    <t>Z3:AJ3</t>
  </si>
  <si>
    <t>W4</t>
  </si>
  <si>
    <t>*姓名：</t>
  </si>
  <si>
    <t>D5</t>
  </si>
  <si>
    <t>R5</t>
  </si>
  <si>
    <t>D5:R5</t>
  </si>
  <si>
    <t>W5</t>
  </si>
  <si>
    <t>电源系统-频率</t>
  </si>
  <si>
    <t>*电话：</t>
  </si>
  <si>
    <t>V5</t>
  </si>
  <si>
    <t>AJ5</t>
  </si>
  <si>
    <t>V5:AJ5</t>
  </si>
  <si>
    <t>W6</t>
  </si>
  <si>
    <t>2. frequency_60</t>
  </si>
  <si>
    <t>*邮箱：</t>
  </si>
  <si>
    <t>D6</t>
  </si>
  <si>
    <t>AJ6</t>
  </si>
  <si>
    <t>D6:AJ6</t>
  </si>
  <si>
    <t>W7</t>
  </si>
  <si>
    <t>3. frequency_DC</t>
  </si>
  <si>
    <t>买方:</t>
  </si>
  <si>
    <t>H8</t>
  </si>
  <si>
    <t>AJ8</t>
  </si>
  <si>
    <t>H8:AJ8</t>
  </si>
  <si>
    <t>W8</t>
  </si>
  <si>
    <t>变压器终端用户:</t>
  </si>
  <si>
    <t>H9</t>
  </si>
  <si>
    <t>AJ9</t>
  </si>
  <si>
    <t>H9:AJ9</t>
  </si>
  <si>
    <t>W9</t>
  </si>
  <si>
    <t>电源系统-电压</t>
  </si>
  <si>
    <t>Other-&gt;</t>
  </si>
  <si>
    <t>H10</t>
  </si>
  <si>
    <t>R10</t>
  </si>
  <si>
    <t>H10:R10</t>
  </si>
  <si>
    <t>W10</t>
  </si>
  <si>
    <t>Z10</t>
  </si>
  <si>
    <t>AJ10</t>
  </si>
  <si>
    <t>Z10:AJ10</t>
  </si>
  <si>
    <t>W11</t>
  </si>
  <si>
    <t>安装国家:</t>
  </si>
  <si>
    <t>H11</t>
  </si>
  <si>
    <t>AJ11</t>
  </si>
  <si>
    <t>H11:AJ11</t>
  </si>
  <si>
    <t>W12</t>
  </si>
  <si>
    <t>数量:</t>
  </si>
  <si>
    <t>H12</t>
  </si>
  <si>
    <t>R12</t>
  </si>
  <si>
    <t>H12:R12</t>
  </si>
  <si>
    <t>W13</t>
  </si>
  <si>
    <t>是否来自电机电源</t>
  </si>
  <si>
    <t>Z12</t>
  </si>
  <si>
    <t>AJ12</t>
  </si>
  <si>
    <t>Z12:AJ11</t>
  </si>
  <si>
    <t>W14</t>
  </si>
  <si>
    <t>2. Separate from motor circuit</t>
  </si>
  <si>
    <t>变压器编号:</t>
  </si>
  <si>
    <t>H13</t>
  </si>
  <si>
    <t>R13</t>
  </si>
  <si>
    <t>H13:R13</t>
  </si>
  <si>
    <t>W15</t>
  </si>
  <si>
    <t>订单号:</t>
  </si>
  <si>
    <t>Z13</t>
  </si>
  <si>
    <t>AJ13</t>
  </si>
  <si>
    <t>Z13:AJ13</t>
  </si>
  <si>
    <t>W16</t>
  </si>
  <si>
    <t>非来自电机电源电压</t>
  </si>
  <si>
    <t>H14</t>
  </si>
  <si>
    <t>R14</t>
  </si>
  <si>
    <t>H14:R14</t>
  </si>
  <si>
    <t>W17</t>
  </si>
  <si>
    <t>Z14</t>
  </si>
  <si>
    <t>AJ14</t>
  </si>
  <si>
    <t>Z14:AJ14</t>
  </si>
  <si>
    <t>W18</t>
  </si>
  <si>
    <t>档位数:</t>
  </si>
  <si>
    <t>Z16</t>
  </si>
  <si>
    <t>AJ16</t>
  </si>
  <si>
    <t>Z16:AJ16</t>
  </si>
  <si>
    <t>W19</t>
  </si>
  <si>
    <t>2. 1-pole miniature circuit breaker</t>
  </si>
  <si>
    <t>工作位置定义1:</t>
  </si>
  <si>
    <t>H17</t>
  </si>
  <si>
    <t>O17</t>
  </si>
  <si>
    <t>H17:O17</t>
  </si>
  <si>
    <t>W20</t>
  </si>
  <si>
    <t>3. 2-pole miniature circuit breaker</t>
  </si>
  <si>
    <t>工作位置定义2:</t>
  </si>
  <si>
    <t>P17</t>
  </si>
  <si>
    <t>AA17</t>
  </si>
  <si>
    <t>P17:AA17</t>
  </si>
  <si>
    <t>W21</t>
  </si>
  <si>
    <t>工作位置定义3:</t>
  </si>
  <si>
    <t>AB17</t>
  </si>
  <si>
    <t>AJ17</t>
  </si>
  <si>
    <t>AB17:AJ17</t>
  </si>
  <si>
    <t>W22</t>
  </si>
  <si>
    <t>是否带空开</t>
  </si>
  <si>
    <t>电源</t>
  </si>
  <si>
    <t>H20</t>
  </si>
  <si>
    <t>AC20</t>
  </si>
  <si>
    <t>H20:AC20</t>
  </si>
  <si>
    <t>W23</t>
  </si>
  <si>
    <t>2. With 1 N/C signal output</t>
  </si>
  <si>
    <t>H23</t>
  </si>
  <si>
    <t>AC23</t>
  </si>
  <si>
    <t>H23:AC23</t>
  </si>
  <si>
    <t>W24</t>
  </si>
  <si>
    <t>3. Other</t>
  </si>
  <si>
    <t>电源来源</t>
  </si>
  <si>
    <t>H25</t>
  </si>
  <si>
    <t>AC25</t>
  </si>
  <si>
    <t>H25:AC25</t>
  </si>
  <si>
    <t>W25</t>
  </si>
  <si>
    <t>保护空开</t>
  </si>
  <si>
    <t>H27</t>
  </si>
  <si>
    <t>AC27</t>
  </si>
  <si>
    <t>H27:AC27</t>
  </si>
  <si>
    <t>W26</t>
  </si>
  <si>
    <t>转换开关信号</t>
  </si>
  <si>
    <t>H29</t>
  </si>
  <si>
    <t>AC29</t>
  </si>
  <si>
    <t>H29:AC29</t>
  </si>
  <si>
    <t>W27</t>
  </si>
  <si>
    <t>2. With(same resistance)</t>
  </si>
  <si>
    <t>H30</t>
  </si>
  <si>
    <t>AC30</t>
  </si>
  <si>
    <t>H30:AC30</t>
  </si>
  <si>
    <t>W28</t>
  </si>
  <si>
    <t>3. With(different resistance)</t>
  </si>
  <si>
    <t>过流闭锁</t>
  </si>
  <si>
    <t>H31</t>
  </si>
  <si>
    <t>AC31</t>
  </si>
  <si>
    <t>H31:AC31</t>
  </si>
  <si>
    <t>W29</t>
  </si>
  <si>
    <t>H32</t>
  </si>
  <si>
    <t>AC32</t>
  </si>
  <si>
    <t>H32:AC32</t>
  </si>
  <si>
    <t>W30</t>
  </si>
  <si>
    <t>H34</t>
  </si>
  <si>
    <t>AC34</t>
  </si>
  <si>
    <t>H34:AC34</t>
  </si>
  <si>
    <t>W31</t>
  </si>
  <si>
    <t>H36</t>
  </si>
  <si>
    <t>AC36</t>
  </si>
  <si>
    <t>H36:AC36</t>
  </si>
  <si>
    <t>W32</t>
  </si>
  <si>
    <t>无空开-标配</t>
  </si>
  <si>
    <t>H37</t>
  </si>
  <si>
    <t>AC37</t>
  </si>
  <si>
    <t>H37:AC37</t>
  </si>
  <si>
    <t>W33</t>
  </si>
  <si>
    <t>加热器控制</t>
  </si>
  <si>
    <t>H38</t>
  </si>
  <si>
    <t>AC38</t>
  </si>
  <si>
    <t>H38:AC38</t>
  </si>
  <si>
    <t>W34</t>
  </si>
  <si>
    <t>手灯</t>
  </si>
  <si>
    <t>H40</t>
  </si>
  <si>
    <t>AC40</t>
  </si>
  <si>
    <t>H40:AC40</t>
  </si>
  <si>
    <t>W35</t>
  </si>
  <si>
    <t>终端位置信号</t>
  </si>
  <si>
    <t>H41</t>
  </si>
  <si>
    <t>AC41</t>
  </si>
  <si>
    <t>H41:AC41</t>
  </si>
  <si>
    <t>W36</t>
  </si>
  <si>
    <t>手摇柄操作信号</t>
  </si>
  <si>
    <t>H42</t>
  </si>
  <si>
    <t>AC42</t>
  </si>
  <si>
    <t>H42:AC42</t>
  </si>
  <si>
    <t>W37</t>
  </si>
  <si>
    <t>凸轮信号</t>
  </si>
  <si>
    <t>H43</t>
  </si>
  <si>
    <t>AC43</t>
  </si>
  <si>
    <t>H43:AC43</t>
  </si>
  <si>
    <t>W38</t>
  </si>
  <si>
    <t>分接变换未完成信号</t>
  </si>
  <si>
    <t>H44</t>
  </si>
  <si>
    <t>AC44</t>
  </si>
  <si>
    <t>H44:AC44</t>
  </si>
  <si>
    <t>W39</t>
  </si>
  <si>
    <t>电机保护开关信号</t>
  </si>
  <si>
    <t>H45</t>
  </si>
  <si>
    <t>AC45</t>
  </si>
  <si>
    <t>H45:AC45</t>
  </si>
  <si>
    <t>W40</t>
  </si>
  <si>
    <t>上升，下降信号</t>
  </si>
  <si>
    <t>H46</t>
  </si>
  <si>
    <t>AC46</t>
  </si>
  <si>
    <t>H46:AC46</t>
  </si>
  <si>
    <t>W41</t>
  </si>
  <si>
    <t>电源插座</t>
  </si>
  <si>
    <t>H47</t>
  </si>
  <si>
    <t>AC47</t>
  </si>
  <si>
    <t>H47:AC47</t>
  </si>
  <si>
    <t>W42</t>
  </si>
  <si>
    <t>H50</t>
  </si>
  <si>
    <t>AC50</t>
  </si>
  <si>
    <t>H50:AC50</t>
  </si>
  <si>
    <t>W43</t>
  </si>
  <si>
    <t>电缆规格</t>
  </si>
  <si>
    <t>Polyethylene</t>
  </si>
  <si>
    <t>H51</t>
  </si>
  <si>
    <t>AC51</t>
  </si>
  <si>
    <t>H51:AC51</t>
  </si>
  <si>
    <t>W44</t>
  </si>
  <si>
    <t>Screened</t>
  </si>
  <si>
    <t>一对一信号</t>
  </si>
  <si>
    <t>H52</t>
  </si>
  <si>
    <t>AC52</t>
  </si>
  <si>
    <t>H52:AC52</t>
  </si>
  <si>
    <t>W45</t>
  </si>
  <si>
    <t>Flame-retardant</t>
  </si>
  <si>
    <t>H55</t>
  </si>
  <si>
    <t>AC55</t>
  </si>
  <si>
    <t>H55:AC55</t>
  </si>
  <si>
    <t>W46</t>
  </si>
  <si>
    <t>Armoured</t>
  </si>
  <si>
    <t>H61</t>
  </si>
  <si>
    <t>AC61</t>
  </si>
  <si>
    <t>H61:AC61</t>
  </si>
  <si>
    <t>W47</t>
  </si>
  <si>
    <t>Cold-resistant</t>
  </si>
  <si>
    <t>控制器电缆线</t>
  </si>
  <si>
    <t>H65</t>
  </si>
  <si>
    <t>AC65</t>
  </si>
  <si>
    <t>H65:AC65</t>
  </si>
  <si>
    <t>W48</t>
  </si>
  <si>
    <t>Oil-resistant</t>
  </si>
  <si>
    <t>H69</t>
  </si>
  <si>
    <t>AC69</t>
  </si>
  <si>
    <t>H69:AC69</t>
  </si>
  <si>
    <t>W49</t>
  </si>
  <si>
    <t>H70</t>
  </si>
  <si>
    <t>O70</t>
  </si>
  <si>
    <t>H70:O70</t>
  </si>
  <si>
    <t>W50</t>
  </si>
  <si>
    <t>H71</t>
  </si>
  <si>
    <t>AC71</t>
  </si>
  <si>
    <t>H71:AC71</t>
  </si>
  <si>
    <t>W51</t>
  </si>
  <si>
    <t>电缆线有无</t>
  </si>
  <si>
    <t>H72</t>
  </si>
  <si>
    <t>AC72</t>
  </si>
  <si>
    <t>H72:AC72</t>
  </si>
  <si>
    <t>W52</t>
  </si>
  <si>
    <t>2. 配</t>
  </si>
  <si>
    <t>H73</t>
  </si>
  <si>
    <t>AC73</t>
  </si>
  <si>
    <t>H73:AC73</t>
  </si>
  <si>
    <t>W53</t>
  </si>
  <si>
    <t>H74</t>
  </si>
  <si>
    <t>AC74</t>
  </si>
  <si>
    <t>H74:AC74</t>
  </si>
  <si>
    <t>W54</t>
  </si>
  <si>
    <t>无有</t>
  </si>
  <si>
    <t>H75</t>
  </si>
  <si>
    <t>AC75</t>
  </si>
  <si>
    <t>H75:AC75</t>
  </si>
  <si>
    <t>W55</t>
  </si>
  <si>
    <t>2. With</t>
  </si>
  <si>
    <t>H76</t>
  </si>
  <si>
    <t>AC76</t>
  </si>
  <si>
    <t>H76:AC76</t>
  </si>
  <si>
    <t>W56</t>
  </si>
  <si>
    <t>出厂资料</t>
  </si>
  <si>
    <t>H77</t>
  </si>
  <si>
    <t>AC77</t>
  </si>
  <si>
    <t>H77:AC77</t>
  </si>
  <si>
    <t>W57</t>
  </si>
  <si>
    <t>有无</t>
  </si>
  <si>
    <t>1. 有</t>
  </si>
  <si>
    <t>H78</t>
  </si>
  <si>
    <t>AC78</t>
  </si>
  <si>
    <t>H78:AA78</t>
  </si>
  <si>
    <t>W58</t>
  </si>
  <si>
    <t>2. 无</t>
  </si>
  <si>
    <t>机构铭牌</t>
  </si>
  <si>
    <t>H79</t>
  </si>
  <si>
    <t>AA79</t>
  </si>
  <si>
    <t>H79:AC79</t>
  </si>
  <si>
    <t>W59</t>
  </si>
  <si>
    <t>接线端子</t>
  </si>
  <si>
    <t>H80</t>
  </si>
  <si>
    <t>AC80</t>
  </si>
  <si>
    <t>H80:AC80</t>
  </si>
  <si>
    <t>W60</t>
  </si>
  <si>
    <t>1. 国内</t>
  </si>
  <si>
    <t>H81</t>
  </si>
  <si>
    <t>AC81</t>
  </si>
  <si>
    <t>H81:AC81</t>
  </si>
  <si>
    <t>W61</t>
  </si>
  <si>
    <t>H82</t>
  </si>
  <si>
    <t>AC82</t>
  </si>
  <si>
    <t>H82:AC82</t>
  </si>
  <si>
    <t>W62</t>
  </si>
  <si>
    <t>备注</t>
  </si>
  <si>
    <t>D83</t>
  </si>
  <si>
    <t>AJ87</t>
  </si>
  <si>
    <t>D83:AJ87</t>
  </si>
  <si>
    <t>W63</t>
  </si>
  <si>
    <t>AD20</t>
  </si>
  <si>
    <t>AJ23</t>
  </si>
  <si>
    <t>AD20:AJ23</t>
  </si>
  <si>
    <t>W64</t>
  </si>
  <si>
    <t>2. With（include residual current circuit breaker ）</t>
  </si>
  <si>
    <t>AD25</t>
  </si>
  <si>
    <t>AJ32</t>
  </si>
  <si>
    <t>AD25:AJ32</t>
  </si>
  <si>
    <t>W65</t>
  </si>
  <si>
    <t>AD34</t>
  </si>
  <si>
    <t>AJ38</t>
  </si>
  <si>
    <t>AD34:AJ38</t>
  </si>
  <si>
    <t>W66</t>
  </si>
  <si>
    <t>AD40</t>
  </si>
  <si>
    <t>AJ48</t>
  </si>
  <si>
    <t>AD40:AJ48</t>
  </si>
  <si>
    <t>W67</t>
  </si>
  <si>
    <t>AD50</t>
  </si>
  <si>
    <t>AJ59</t>
  </si>
  <si>
    <t>AD50:AJ59</t>
  </si>
  <si>
    <t>W68</t>
  </si>
  <si>
    <t>AD61</t>
  </si>
  <si>
    <t>AJ67</t>
  </si>
  <si>
    <t>AD61:AJ67</t>
  </si>
  <si>
    <t>W69</t>
  </si>
  <si>
    <t>AD69</t>
  </si>
  <si>
    <t>AJ82</t>
  </si>
  <si>
    <t>AD69:AJ82</t>
  </si>
  <si>
    <t>W70</t>
  </si>
  <si>
    <t>2. One-pole miniature circuit breaker</t>
  </si>
  <si>
    <t>3. Two-pole miniature circuit breaker</t>
  </si>
  <si>
    <t>空开信号</t>
  </si>
  <si>
    <t>3. Other(  )</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</si>
</sst>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409]mmmm\ d\,\ yyyy;@"/>
    <numFmt numFmtId="177" formatCode="0_ "/>
    <numFmt numFmtId="178" formatCode="0_);[Red]\(0\)"/>
    <numFmt numFmtId="179" formatCode="0.00_);[Red]\(0.00\)"/>
  </numFmts>
  <fonts count="46">
    <font>
      <sz val="11"/>
      <color theme="1"/>
      <name val="宋体"/>
      <charset val="134"/>
      <scheme val="minor"/>
    </font>
    <font>
      <sz val="11"/>
      <color rgb="FF000000"/>
      <name val="宋体"/>
      <charset val="134"/>
    </font>
    <font>
      <sz val="11"/>
      <color rgb="FF000000"/>
      <name val="Arial"/>
      <charset val="134"/>
    </font>
    <font>
      <sz val="10.5"/>
      <color rgb="FF0D0D0D"/>
      <name val="DroidSerif-Regular"/>
      <charset val="134"/>
    </font>
    <font>
      <sz val="10.5"/>
      <color rgb="FF0D0D0D"/>
      <name val="宋体"/>
      <charset val="134"/>
    </font>
    <font>
      <sz val="11"/>
      <color indexed="8"/>
      <name val="宋体"/>
      <charset val="134"/>
    </font>
    <font>
      <sz val="10.5"/>
      <color theme="1"/>
      <name val="宋体"/>
      <charset val="134"/>
    </font>
    <font>
      <b/>
      <sz val="10.5"/>
      <color rgb="FF0000FF"/>
      <name val="宋体"/>
      <charset val="134"/>
    </font>
    <font>
      <sz val="14"/>
      <color rgb="FF333333"/>
      <name val="宋体"/>
      <charset val="134"/>
    </font>
    <font>
      <sz val="14"/>
      <color indexed="63"/>
      <name val="Open Sans"/>
      <charset val="134"/>
    </font>
    <font>
      <b/>
      <sz val="16"/>
      <color theme="1"/>
      <name val="Times New Roman"/>
      <charset val="134"/>
    </font>
    <font>
      <b/>
      <sz val="11"/>
      <color theme="1"/>
      <name val="Times New Roman"/>
      <charset val="134"/>
    </font>
    <font>
      <sz val="11"/>
      <color theme="1"/>
      <name val="Times New Roman"/>
      <charset val="134"/>
    </font>
    <font>
      <b/>
      <sz val="12"/>
      <color theme="1"/>
      <name val="Times New Roman"/>
      <charset val="134"/>
    </font>
    <font>
      <sz val="11"/>
      <name val="Times New Roman"/>
      <charset val="134"/>
    </font>
    <font>
      <sz val="11"/>
      <color rgb="FFFF0000"/>
      <name val="Times New Roman"/>
      <charset val="134"/>
    </font>
    <font>
      <i/>
      <sz val="11"/>
      <color theme="1"/>
      <name val="Times New Roman"/>
      <charset val="134"/>
    </font>
    <font>
      <sz val="11"/>
      <color theme="1"/>
      <name val="宋体"/>
      <charset val="134"/>
    </font>
    <font>
      <sz val="12"/>
      <name val="Arial"/>
      <charset val="134"/>
    </font>
    <font>
      <sz val="12"/>
      <name val="宋体"/>
      <charset val="134"/>
    </font>
    <font>
      <sz val="10.5"/>
      <color theme="1"/>
      <name val="Times New Roman"/>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2"/>
      <color rgb="FFFF0000"/>
      <name val="Times New Roman"/>
      <charset val="134"/>
    </font>
    <font>
      <sz val="10.5"/>
      <color theme="1"/>
      <name val="Arial"/>
      <charset val="134"/>
    </font>
    <font>
      <b/>
      <sz val="10.5"/>
      <color rgb="FF0000FF"/>
      <name val="Arial"/>
      <charset val="134"/>
    </font>
    <font>
      <i/>
      <sz val="11"/>
      <color theme="1"/>
      <name val="宋体"/>
      <charset val="134"/>
    </font>
    <font>
      <sz val="10"/>
      <name val="Times New Roman"/>
      <charset val="134"/>
    </font>
    <font>
      <sz val="9"/>
      <name val="宋体"/>
      <charset val="134"/>
    </font>
  </fonts>
  <fills count="36">
    <fill>
      <patternFill patternType="none"/>
    </fill>
    <fill>
      <patternFill patternType="gray125"/>
    </fill>
    <fill>
      <patternFill patternType="solid">
        <fgColor rgb="FF92D050"/>
        <bgColor indexed="64"/>
      </patternFill>
    </fill>
    <fill>
      <patternFill patternType="solid">
        <fgColor theme="4" tint="0.599993896298105"/>
        <bgColor indexed="64"/>
      </patternFill>
    </fill>
    <fill>
      <patternFill patternType="solid">
        <fgColor theme="2" tint="-0.249977111117893"/>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0" fillId="5" borderId="13"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14" applyNumberFormat="0" applyFill="0" applyAlignment="0" applyProtection="0">
      <alignment vertical="center"/>
    </xf>
    <xf numFmtId="0" fontId="27" fillId="0" borderId="14" applyNumberFormat="0" applyFill="0" applyAlignment="0" applyProtection="0">
      <alignment vertical="center"/>
    </xf>
    <xf numFmtId="0" fontId="28" fillId="0" borderId="15" applyNumberFormat="0" applyFill="0" applyAlignment="0" applyProtection="0">
      <alignment vertical="center"/>
    </xf>
    <xf numFmtId="0" fontId="28" fillId="0" borderId="0" applyNumberFormat="0" applyFill="0" applyBorder="0" applyAlignment="0" applyProtection="0">
      <alignment vertical="center"/>
    </xf>
    <xf numFmtId="0" fontId="29" fillId="6" borderId="16" applyNumberFormat="0" applyAlignment="0" applyProtection="0">
      <alignment vertical="center"/>
    </xf>
    <xf numFmtId="0" fontId="30" fillId="7" borderId="17" applyNumberFormat="0" applyAlignment="0" applyProtection="0">
      <alignment vertical="center"/>
    </xf>
    <xf numFmtId="0" fontId="31" fillId="7" borderId="16" applyNumberFormat="0" applyAlignment="0" applyProtection="0">
      <alignment vertical="center"/>
    </xf>
    <xf numFmtId="0" fontId="32" fillId="8" borderId="18" applyNumberFormat="0" applyAlignment="0" applyProtection="0">
      <alignment vertical="center"/>
    </xf>
    <xf numFmtId="0" fontId="33" fillId="0" borderId="19" applyNumberFormat="0" applyFill="0" applyAlignment="0" applyProtection="0">
      <alignment vertical="center"/>
    </xf>
    <xf numFmtId="0" fontId="34" fillId="0" borderId="20" applyNumberFormat="0" applyFill="0" applyAlignment="0" applyProtection="0">
      <alignment vertical="center"/>
    </xf>
    <xf numFmtId="0" fontId="35" fillId="9" borderId="0" applyNumberFormat="0" applyBorder="0" applyAlignment="0" applyProtection="0">
      <alignment vertical="center"/>
    </xf>
    <xf numFmtId="0" fontId="36" fillId="10" borderId="0" applyNumberFormat="0" applyBorder="0" applyAlignment="0" applyProtection="0">
      <alignment vertical="center"/>
    </xf>
    <xf numFmtId="0" fontId="37" fillId="11" borderId="0" applyNumberFormat="0" applyBorder="0" applyAlignment="0" applyProtection="0">
      <alignment vertical="center"/>
    </xf>
    <xf numFmtId="0" fontId="38" fillId="12" borderId="0" applyNumberFormat="0" applyBorder="0" applyAlignment="0" applyProtection="0">
      <alignment vertical="center"/>
    </xf>
    <xf numFmtId="0" fontId="39" fillId="13" borderId="0" applyNumberFormat="0" applyBorder="0" applyAlignment="0" applyProtection="0">
      <alignment vertical="center"/>
    </xf>
    <xf numFmtId="0" fontId="39" fillId="14" borderId="0" applyNumberFormat="0" applyBorder="0" applyAlignment="0" applyProtection="0">
      <alignment vertical="center"/>
    </xf>
    <xf numFmtId="0" fontId="38"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39" fillId="18" borderId="0" applyNumberFormat="0" applyBorder="0" applyAlignment="0" applyProtection="0">
      <alignment vertical="center"/>
    </xf>
    <xf numFmtId="0" fontId="38" fillId="19" borderId="0" applyNumberFormat="0" applyBorder="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39" fillId="22" borderId="0" applyNumberFormat="0" applyBorder="0" applyAlignment="0" applyProtection="0">
      <alignment vertical="center"/>
    </xf>
    <xf numFmtId="0" fontId="38" fillId="23" borderId="0" applyNumberFormat="0" applyBorder="0" applyAlignment="0" applyProtection="0">
      <alignment vertical="center"/>
    </xf>
    <xf numFmtId="0" fontId="38" fillId="24" borderId="0" applyNumberFormat="0" applyBorder="0" applyAlignment="0" applyProtection="0">
      <alignment vertical="center"/>
    </xf>
    <xf numFmtId="0" fontId="39" fillId="25" borderId="0" applyNumberFormat="0" applyBorder="0" applyAlignment="0" applyProtection="0">
      <alignment vertical="center"/>
    </xf>
    <xf numFmtId="0" fontId="39" fillId="26" borderId="0" applyNumberFormat="0" applyBorder="0" applyAlignment="0" applyProtection="0">
      <alignment vertical="center"/>
    </xf>
    <xf numFmtId="0" fontId="38" fillId="27" borderId="0" applyNumberFormat="0" applyBorder="0" applyAlignment="0" applyProtection="0">
      <alignment vertical="center"/>
    </xf>
    <xf numFmtId="0" fontId="38" fillId="28" borderId="0" applyNumberFormat="0" applyBorder="0" applyAlignment="0" applyProtection="0">
      <alignment vertical="center"/>
    </xf>
    <xf numFmtId="0" fontId="39" fillId="29" borderId="0" applyNumberFormat="0" applyBorder="0" applyAlignment="0" applyProtection="0">
      <alignment vertical="center"/>
    </xf>
    <xf numFmtId="0" fontId="39" fillId="30" borderId="0" applyNumberFormat="0" applyBorder="0" applyAlignment="0" applyProtection="0">
      <alignment vertical="center"/>
    </xf>
    <xf numFmtId="0" fontId="38" fillId="31" borderId="0" applyNumberFormat="0" applyBorder="0" applyAlignment="0" applyProtection="0">
      <alignment vertical="center"/>
    </xf>
    <xf numFmtId="0" fontId="38" fillId="32" borderId="0" applyNumberFormat="0" applyBorder="0" applyAlignment="0" applyProtection="0">
      <alignment vertical="center"/>
    </xf>
    <xf numFmtId="0" fontId="39" fillId="33" borderId="0" applyNumberFormat="0" applyBorder="0" applyAlignment="0" applyProtection="0">
      <alignment vertical="center"/>
    </xf>
    <xf numFmtId="0" fontId="39" fillId="34" borderId="0" applyNumberFormat="0" applyBorder="0" applyAlignment="0" applyProtection="0">
      <alignment vertical="center"/>
    </xf>
    <xf numFmtId="0" fontId="38" fillId="35" borderId="0" applyNumberFormat="0" applyBorder="0" applyAlignment="0" applyProtection="0">
      <alignment vertical="center"/>
    </xf>
  </cellStyleXfs>
  <cellXfs count="142">
    <xf numFmtId="0" fontId="0" fillId="0" borderId="0" xfId="0">
      <alignment vertical="center"/>
    </xf>
    <xf numFmtId="0" fontId="0" fillId="2" borderId="0" xfId="0" applyFill="1">
      <alignment vertical="center"/>
    </xf>
    <xf numFmtId="0" fontId="1" fillId="0" borderId="0" xfId="0" applyFont="1" applyAlignment="1">
      <alignment horizontal="left" vertical="top" wrapText="1"/>
    </xf>
    <xf numFmtId="0" fontId="2" fillId="0" borderId="0" xfId="0" applyFont="1" applyAlignment="1">
      <alignment horizontal="left" vertical="top" wrapText="1"/>
    </xf>
    <xf numFmtId="0" fontId="0" fillId="0" borderId="0" xfId="0" applyProtection="1">
      <alignment vertical="center"/>
      <protection locked="0"/>
    </xf>
    <xf numFmtId="0" fontId="2" fillId="0" borderId="0" xfId="0" applyFont="1" applyAlignment="1" applyProtection="1">
      <alignment horizontal="left" vertical="top" wrapText="1"/>
      <protection locked="0"/>
    </xf>
    <xf numFmtId="0" fontId="0" fillId="0" borderId="0" xfId="0" applyAlignment="1">
      <alignment horizontal="left" vertical="center"/>
    </xf>
    <xf numFmtId="0" fontId="3" fillId="0" borderId="0" xfId="0" applyFont="1" applyAlignment="1" applyProtection="1">
      <alignment horizontal="left" vertical="center"/>
      <protection locked="0"/>
    </xf>
    <xf numFmtId="0" fontId="3" fillId="0" borderId="0" xfId="0" applyFont="1" applyAlignment="1">
      <alignment horizontal="left" vertical="center"/>
    </xf>
    <xf numFmtId="0" fontId="0" fillId="0" borderId="0" xfId="0" applyAlignment="1" applyProtection="1">
      <alignment horizontal="left" vertical="center"/>
      <protection locked="0"/>
    </xf>
    <xf numFmtId="0" fontId="0" fillId="0" borderId="0" xfId="0" applyAlignment="1">
      <alignment vertical="center" wrapText="1"/>
    </xf>
    <xf numFmtId="0" fontId="4" fillId="0" borderId="0" xfId="0" applyFont="1">
      <alignment vertical="center"/>
    </xf>
    <xf numFmtId="0" fontId="5" fillId="0" borderId="0" xfId="0" applyFont="1">
      <alignment vertical="center"/>
    </xf>
    <xf numFmtId="0" fontId="3" fillId="0" borderId="0" xfId="0" applyFont="1">
      <alignment vertical="center"/>
    </xf>
    <xf numFmtId="0" fontId="3" fillId="0" borderId="0" xfId="0" applyFont="1" applyProtection="1">
      <alignment vertical="center"/>
      <protection locked="0"/>
    </xf>
    <xf numFmtId="0" fontId="4" fillId="0" borderId="0" xfId="0" applyFont="1" applyProtection="1">
      <alignment vertical="center"/>
      <protection locked="0"/>
    </xf>
    <xf numFmtId="0" fontId="6" fillId="0" borderId="0" xfId="0" applyFont="1" applyAlignment="1">
      <alignment horizontal="justify" vertical="center"/>
    </xf>
    <xf numFmtId="0" fontId="7" fillId="0" borderId="0" xfId="0" applyFont="1" applyAlignment="1">
      <alignment horizontal="left" vertical="center"/>
    </xf>
    <xf numFmtId="0" fontId="8" fillId="0" borderId="0" xfId="0" applyFont="1">
      <alignment vertical="center"/>
    </xf>
    <xf numFmtId="0" fontId="9" fillId="0" borderId="0" xfId="0" applyFont="1">
      <alignment vertical="center"/>
    </xf>
    <xf numFmtId="22" fontId="0" fillId="0" borderId="0" xfId="0" applyNumberFormat="1">
      <alignment vertical="center"/>
    </xf>
    <xf numFmtId="0" fontId="0" fillId="0" borderId="0" xfId="0" applyAlignment="1" applyProtection="1">
      <alignment vertical="center" wrapText="1"/>
    </xf>
    <xf numFmtId="0" fontId="0" fillId="0" borderId="0" xfId="0" applyProtection="1">
      <alignment vertical="center"/>
    </xf>
    <xf numFmtId="0" fontId="0" fillId="0" borderId="1" xfId="0" applyBorder="1" applyAlignment="1" applyProtection="1">
      <alignment horizontal="center" vertical="center"/>
    </xf>
    <xf numFmtId="0" fontId="10" fillId="0" borderId="2" xfId="0" applyFont="1" applyBorder="1" applyAlignment="1" applyProtection="1">
      <alignment horizontal="center" vertical="center"/>
    </xf>
    <xf numFmtId="0" fontId="10" fillId="0" borderId="3" xfId="0" applyFont="1" applyBorder="1" applyAlignment="1" applyProtection="1">
      <alignment horizontal="center" vertical="center"/>
    </xf>
    <xf numFmtId="0" fontId="11" fillId="0" borderId="3" xfId="0" applyFont="1" applyBorder="1" applyAlignment="1" applyProtection="1">
      <alignment horizontal="center"/>
    </xf>
    <xf numFmtId="0" fontId="11" fillId="0" borderId="4" xfId="0" applyFont="1" applyBorder="1" applyAlignment="1" applyProtection="1">
      <alignment horizontal="center"/>
    </xf>
    <xf numFmtId="0" fontId="12" fillId="0" borderId="1" xfId="0" applyFont="1" applyBorder="1" applyAlignment="1" applyProtection="1">
      <alignment horizontal="right" vertical="center"/>
    </xf>
    <xf numFmtId="0" fontId="12" fillId="3" borderId="1" xfId="0" applyFont="1" applyFill="1" applyBorder="1" applyAlignment="1" applyProtection="1">
      <alignment horizontal="center" vertical="center"/>
      <protection locked="0"/>
    </xf>
    <xf numFmtId="0" fontId="12" fillId="0" borderId="1" xfId="0" applyFont="1" applyBorder="1" applyAlignment="1" applyProtection="1">
      <alignment horizontal="center" vertical="center"/>
      <protection locked="0"/>
    </xf>
    <xf numFmtId="0" fontId="13" fillId="0" borderId="0" xfId="0" applyFont="1" applyAlignment="1" applyProtection="1">
      <alignment horizontal="left" vertical="top" wrapText="1"/>
    </xf>
    <xf numFmtId="0" fontId="13" fillId="0" borderId="0" xfId="0" applyFont="1" applyAlignment="1" applyProtection="1">
      <alignment vertical="top" wrapText="1"/>
    </xf>
    <xf numFmtId="0" fontId="12" fillId="0" borderId="2" xfId="0" applyFont="1" applyBorder="1" applyAlignment="1" applyProtection="1">
      <alignment horizontal="center" vertical="center"/>
      <protection locked="0"/>
    </xf>
    <xf numFmtId="0" fontId="12" fillId="0" borderId="3" xfId="0" applyFont="1" applyBorder="1" applyAlignment="1" applyProtection="1">
      <alignment horizontal="center" vertical="center"/>
      <protection locked="0"/>
    </xf>
    <xf numFmtId="0" fontId="12" fillId="0" borderId="4" xfId="0" applyFont="1" applyBorder="1" applyAlignment="1" applyProtection="1">
      <alignment horizontal="center" vertical="center"/>
      <protection locked="0"/>
    </xf>
    <xf numFmtId="176" fontId="12" fillId="3" borderId="1" xfId="0" applyNumberFormat="1" applyFont="1" applyFill="1" applyBorder="1" applyAlignment="1" applyProtection="1">
      <alignment horizontal="center" vertical="center"/>
      <protection locked="0"/>
    </xf>
    <xf numFmtId="0" fontId="13" fillId="0" borderId="1" xfId="0" applyFont="1" applyBorder="1" applyAlignment="1" applyProtection="1">
      <alignment horizontal="center" vertical="center"/>
    </xf>
    <xf numFmtId="0" fontId="14" fillId="0" borderId="1" xfId="0" applyFont="1" applyBorder="1" applyAlignment="1" applyProtection="1">
      <alignment horizontal="right" vertical="center"/>
    </xf>
    <xf numFmtId="0" fontId="14" fillId="0" borderId="2" xfId="0" applyFont="1" applyBorder="1" applyAlignment="1" applyProtection="1">
      <alignment horizontal="right" vertical="center"/>
    </xf>
    <xf numFmtId="0" fontId="15" fillId="0" borderId="3" xfId="0" applyFont="1" applyBorder="1" applyAlignment="1" applyProtection="1">
      <alignment horizontal="right" vertical="center"/>
    </xf>
    <xf numFmtId="0" fontId="15" fillId="0" borderId="4" xfId="0" applyFont="1" applyBorder="1" applyAlignment="1" applyProtection="1">
      <alignment horizontal="right" vertical="center"/>
    </xf>
    <xf numFmtId="0" fontId="0" fillId="0" borderId="1" xfId="0" applyBorder="1" applyAlignment="1" applyProtection="1">
      <alignment horizontal="right" vertical="center"/>
    </xf>
    <xf numFmtId="0" fontId="0" fillId="3" borderId="1" xfId="0"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14" fillId="0" borderId="1" xfId="0" applyFont="1" applyBorder="1" applyAlignment="1" applyProtection="1">
      <alignment horizontal="right" vertical="center" wrapText="1"/>
    </xf>
    <xf numFmtId="0" fontId="12" fillId="0" borderId="1" xfId="0" applyFont="1" applyBorder="1" applyAlignment="1" applyProtection="1">
      <alignment horizontal="right" vertical="center" wrapText="1"/>
    </xf>
    <xf numFmtId="177" fontId="12" fillId="0" borderId="1" xfId="0" applyNumberFormat="1" applyFont="1" applyBorder="1" applyAlignment="1" applyProtection="1">
      <alignment horizontal="center" vertical="center"/>
      <protection locked="0"/>
    </xf>
    <xf numFmtId="0" fontId="12" fillId="0" borderId="1" xfId="0" applyFont="1" applyBorder="1" applyAlignment="1" applyProtection="1">
      <alignment horizontal="center" vertical="center" wrapText="1"/>
      <protection locked="0"/>
    </xf>
    <xf numFmtId="0" fontId="16" fillId="0" borderId="1" xfId="0" applyFont="1" applyBorder="1" applyAlignment="1" applyProtection="1">
      <alignment horizontal="right" vertical="center"/>
    </xf>
    <xf numFmtId="0" fontId="16" fillId="0" borderId="1" xfId="0" applyFont="1" applyBorder="1" applyAlignment="1" applyProtection="1">
      <alignment horizontal="center" vertical="center" wrapText="1"/>
    </xf>
    <xf numFmtId="0" fontId="16" fillId="0" borderId="1" xfId="0" applyFont="1" applyBorder="1" applyAlignment="1" applyProtection="1">
      <alignment horizontal="center" vertical="center"/>
    </xf>
    <xf numFmtId="0" fontId="13" fillId="4" borderId="2" xfId="0" applyFont="1" applyFill="1" applyBorder="1" applyAlignment="1" applyProtection="1">
      <alignment horizontal="center" vertical="center"/>
    </xf>
    <xf numFmtId="0" fontId="13" fillId="4" borderId="3" xfId="0" applyFont="1" applyFill="1" applyBorder="1" applyAlignment="1" applyProtection="1">
      <alignment horizontal="center" vertical="center"/>
    </xf>
    <xf numFmtId="0" fontId="13" fillId="4" borderId="4" xfId="0" applyFont="1" applyFill="1" applyBorder="1" applyAlignment="1" applyProtection="1">
      <alignment horizontal="center" vertical="center"/>
    </xf>
    <xf numFmtId="0" fontId="12" fillId="0" borderId="0" xfId="0" applyFont="1" applyAlignment="1" applyProtection="1">
      <alignment vertical="center" wrapText="1"/>
    </xf>
    <xf numFmtId="0" fontId="12" fillId="0" borderId="1" xfId="0" applyFont="1" applyBorder="1" applyAlignment="1" applyProtection="1">
      <alignment horizontal="center" vertical="center" wrapText="1"/>
    </xf>
    <xf numFmtId="0" fontId="14" fillId="0" borderId="1" xfId="0" applyFont="1" applyBorder="1" applyAlignment="1" applyProtection="1">
      <alignment horizontal="center" vertical="center"/>
    </xf>
    <xf numFmtId="0" fontId="14" fillId="3" borderId="1" xfId="0" applyFont="1" applyFill="1" applyBorder="1" applyAlignment="1" applyProtection="1">
      <alignment horizontal="center" vertical="center"/>
      <protection locked="0"/>
    </xf>
    <xf numFmtId="0" fontId="12" fillId="0" borderId="5" xfId="0" applyFont="1" applyBorder="1" applyAlignment="1" applyProtection="1">
      <alignment horizontal="center" vertical="center" wrapText="1"/>
      <protection locked="0"/>
    </xf>
    <xf numFmtId="0" fontId="12" fillId="0" borderId="6" xfId="0" applyFont="1" applyBorder="1" applyAlignment="1" applyProtection="1">
      <alignment horizontal="center" vertical="center" wrapText="1"/>
      <protection locked="0"/>
    </xf>
    <xf numFmtId="0" fontId="12" fillId="0" borderId="7"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xf>
    <xf numFmtId="0" fontId="12" fillId="0" borderId="8" xfId="0" applyFont="1" applyBorder="1" applyAlignment="1" applyProtection="1">
      <alignment horizontal="center" vertical="center" wrapText="1"/>
      <protection locked="0"/>
    </xf>
    <xf numFmtId="0" fontId="12" fillId="0" borderId="0" xfId="0" applyFont="1" applyAlignment="1" applyProtection="1">
      <alignment horizontal="center" vertical="center" wrapText="1"/>
      <protection locked="0"/>
    </xf>
    <xf numFmtId="0" fontId="12" fillId="0" borderId="9" xfId="0" applyFont="1" applyBorder="1" applyAlignment="1" applyProtection="1">
      <alignment horizontal="center" vertical="center" wrapText="1"/>
      <protection locked="0"/>
    </xf>
    <xf numFmtId="0" fontId="17" fillId="0" borderId="2" xfId="0" applyFont="1" applyBorder="1" applyAlignment="1" applyProtection="1">
      <alignment horizontal="center" vertical="center" wrapText="1"/>
    </xf>
    <xf numFmtId="0" fontId="12" fillId="0" borderId="3" xfId="0" applyFont="1" applyBorder="1" applyAlignment="1" applyProtection="1">
      <alignment horizontal="center" vertical="center" wrapText="1"/>
    </xf>
    <xf numFmtId="0" fontId="12" fillId="0" borderId="4" xfId="0" applyFont="1" applyBorder="1" applyAlignment="1" applyProtection="1">
      <alignment horizontal="center" vertical="center" wrapText="1"/>
    </xf>
    <xf numFmtId="0" fontId="13" fillId="4" borderId="2" xfId="0" applyFont="1" applyFill="1" applyBorder="1" applyAlignment="1" applyProtection="1">
      <alignment horizontal="center" vertical="center" wrapText="1"/>
    </xf>
    <xf numFmtId="0" fontId="13" fillId="4" borderId="3" xfId="0" applyFont="1" applyFill="1" applyBorder="1" applyAlignment="1" applyProtection="1">
      <alignment horizontal="center" vertical="center" wrapText="1"/>
    </xf>
    <xf numFmtId="0" fontId="13" fillId="4" borderId="4" xfId="0" applyFont="1" applyFill="1" applyBorder="1" applyAlignment="1" applyProtection="1">
      <alignment horizontal="center" vertical="center" wrapText="1"/>
    </xf>
    <xf numFmtId="0" fontId="12" fillId="0" borderId="5" xfId="0" applyFont="1" applyBorder="1" applyAlignment="1" applyProtection="1">
      <alignment horizontal="center" vertical="center"/>
    </xf>
    <xf numFmtId="0" fontId="12" fillId="0" borderId="6" xfId="0" applyFont="1" applyBorder="1" applyAlignment="1" applyProtection="1">
      <alignment horizontal="center" vertical="center"/>
    </xf>
    <xf numFmtId="0" fontId="12" fillId="0" borderId="7" xfId="0" applyFont="1" applyBorder="1" applyAlignment="1" applyProtection="1">
      <alignment horizontal="center" vertical="center"/>
    </xf>
    <xf numFmtId="0" fontId="12" fillId="0" borderId="10" xfId="0" applyFont="1" applyBorder="1" applyAlignment="1" applyProtection="1">
      <alignment horizontal="center" vertical="center"/>
    </xf>
    <xf numFmtId="0" fontId="12" fillId="0" borderId="11" xfId="0" applyFont="1" applyBorder="1" applyAlignment="1" applyProtection="1">
      <alignment horizontal="center" vertical="center"/>
    </xf>
    <xf numFmtId="0" fontId="12" fillId="0" borderId="12" xfId="0" applyFont="1" applyBorder="1" applyAlignment="1" applyProtection="1">
      <alignment horizontal="center" vertical="center"/>
    </xf>
    <xf numFmtId="0" fontId="12" fillId="0" borderId="2" xfId="0" applyFont="1" applyBorder="1" applyAlignment="1" applyProtection="1">
      <alignment horizontal="center" vertical="center"/>
    </xf>
    <xf numFmtId="0" fontId="12" fillId="0" borderId="3" xfId="0" applyFont="1" applyBorder="1" applyAlignment="1" applyProtection="1">
      <alignment horizontal="center" vertical="center"/>
    </xf>
    <xf numFmtId="0" fontId="12" fillId="0" borderId="4" xfId="0" applyFont="1" applyBorder="1" applyAlignment="1" applyProtection="1">
      <alignment horizontal="center" vertical="center"/>
    </xf>
    <xf numFmtId="0" fontId="0" fillId="0" borderId="0" xfId="0" applyAlignment="1" applyProtection="1">
      <alignment horizontal="center" vertical="center" wrapText="1"/>
    </xf>
    <xf numFmtId="0" fontId="12" fillId="0" borderId="2" xfId="0" applyFont="1" applyBorder="1" applyAlignment="1" applyProtection="1">
      <alignment horizontal="center" vertical="center" wrapText="1"/>
    </xf>
    <xf numFmtId="0" fontId="12" fillId="0" borderId="5" xfId="0" applyFont="1" applyBorder="1" applyAlignment="1" applyProtection="1">
      <alignment horizontal="center" vertical="center" wrapText="1"/>
    </xf>
    <xf numFmtId="0" fontId="12" fillId="0" borderId="6" xfId="0" applyFont="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10" xfId="0" applyFont="1" applyBorder="1" applyAlignment="1" applyProtection="1">
      <alignment horizontal="center" vertical="center" wrapText="1"/>
      <protection locked="0"/>
    </xf>
    <xf numFmtId="0" fontId="12" fillId="0" borderId="11" xfId="0" applyFont="1" applyBorder="1" applyAlignment="1" applyProtection="1">
      <alignment horizontal="center" vertical="center" wrapText="1"/>
      <protection locked="0"/>
    </xf>
    <xf numFmtId="0" fontId="12" fillId="0" borderId="12" xfId="0" applyFont="1" applyBorder="1" applyAlignment="1" applyProtection="1">
      <alignment horizontal="center" vertical="center" wrapText="1"/>
      <protection locked="0"/>
    </xf>
    <xf numFmtId="0" fontId="12" fillId="3" borderId="1" xfId="0" applyFont="1" applyFill="1" applyBorder="1" applyAlignment="1" applyProtection="1">
      <alignment horizontal="center" vertical="center" wrapText="1"/>
      <protection locked="0"/>
    </xf>
    <xf numFmtId="0" fontId="17" fillId="0" borderId="1" xfId="0" applyFont="1" applyBorder="1" applyAlignment="1" applyProtection="1">
      <alignment horizontal="center" vertical="center" wrapText="1"/>
    </xf>
    <xf numFmtId="0" fontId="12" fillId="3" borderId="2" xfId="0" applyFont="1" applyFill="1" applyBorder="1" applyAlignment="1" applyProtection="1">
      <alignment horizontal="center" vertical="center" wrapText="1"/>
      <protection locked="0"/>
    </xf>
    <xf numFmtId="0" fontId="12" fillId="3" borderId="3" xfId="0" applyFont="1" applyFill="1" applyBorder="1" applyAlignment="1" applyProtection="1">
      <alignment horizontal="center" vertical="center" wrapText="1"/>
      <protection locked="0"/>
    </xf>
    <xf numFmtId="0" fontId="12" fillId="3" borderId="4" xfId="0" applyFont="1" applyFill="1" applyBorder="1" applyAlignment="1" applyProtection="1">
      <alignment horizontal="center" vertical="center" wrapText="1"/>
      <protection locked="0"/>
    </xf>
    <xf numFmtId="0" fontId="18" fillId="0" borderId="0" xfId="0" applyFont="1" applyAlignment="1" applyProtection="1">
      <alignment horizontal="center" vertical="center"/>
    </xf>
    <xf numFmtId="0" fontId="19" fillId="0" borderId="0" xfId="0" applyFont="1" applyAlignment="1" applyProtection="1">
      <alignment horizontal="center" vertical="center"/>
    </xf>
    <xf numFmtId="0" fontId="19" fillId="0" borderId="0" xfId="0" applyFont="1" applyProtection="1">
      <alignment vertical="center"/>
    </xf>
    <xf numFmtId="0" fontId="18" fillId="0" borderId="0" xfId="0" applyFont="1" applyAlignment="1" applyProtection="1">
      <alignment horizontal="center" vertical="center" wrapText="1"/>
    </xf>
    <xf numFmtId="0" fontId="20" fillId="0" borderId="1" xfId="0" applyFont="1" applyBorder="1" applyAlignment="1" applyProtection="1">
      <alignment horizontal="center" vertical="center" wrapText="1"/>
    </xf>
    <xf numFmtId="0" fontId="12" fillId="0" borderId="8"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0" fontId="0" fillId="0" borderId="3" xfId="0" applyBorder="1" applyAlignment="1" applyProtection="1">
      <alignment horizontal="center" vertical="center"/>
    </xf>
    <xf numFmtId="0" fontId="0" fillId="0" borderId="4" xfId="0" applyBorder="1" applyAlignment="1" applyProtection="1">
      <alignment horizontal="center" vertical="center"/>
    </xf>
    <xf numFmtId="0" fontId="0" fillId="0" borderId="1" xfId="0" applyBorder="1" applyAlignment="1" applyProtection="1">
      <alignment horizontal="center" vertical="center" wrapText="1"/>
    </xf>
    <xf numFmtId="0" fontId="12" fillId="0" borderId="10" xfId="0" applyFont="1" applyBorder="1" applyAlignment="1" applyProtection="1">
      <alignment horizontal="center" vertical="center" wrapText="1"/>
    </xf>
    <xf numFmtId="0" fontId="12" fillId="0" borderId="12" xfId="0" applyFont="1" applyBorder="1" applyAlignment="1" applyProtection="1">
      <alignment horizontal="center" vertical="center" wrapText="1"/>
    </xf>
    <xf numFmtId="0" fontId="0" fillId="0" borderId="1" xfId="0" applyBorder="1" applyAlignment="1" applyProtection="1">
      <alignment horizontal="center" vertical="center" wrapText="1"/>
      <protection locked="0"/>
    </xf>
    <xf numFmtId="178" fontId="12" fillId="0" borderId="2" xfId="0" applyNumberFormat="1" applyFont="1" applyBorder="1" applyAlignment="1" applyProtection="1">
      <alignment horizontal="center" vertical="center"/>
      <protection locked="0"/>
    </xf>
    <xf numFmtId="178" fontId="12" fillId="0" borderId="3" xfId="0" applyNumberFormat="1" applyFont="1" applyBorder="1" applyAlignment="1" applyProtection="1">
      <alignment horizontal="center" vertical="center"/>
      <protection locked="0"/>
    </xf>
    <xf numFmtId="178" fontId="12" fillId="0" borderId="4" xfId="0" applyNumberFormat="1" applyFont="1" applyBorder="1" applyAlignment="1" applyProtection="1">
      <alignment horizontal="center" vertical="center"/>
      <protection locked="0"/>
    </xf>
    <xf numFmtId="179" fontId="17" fillId="0" borderId="2" xfId="0" applyNumberFormat="1" applyFont="1" applyBorder="1" applyAlignment="1" applyProtection="1">
      <alignment horizontal="center" vertical="center" wrapText="1"/>
      <protection locked="0"/>
    </xf>
    <xf numFmtId="179" fontId="12" fillId="0" borderId="4" xfId="0" applyNumberFormat="1" applyFont="1" applyBorder="1" applyAlignment="1" applyProtection="1">
      <alignment horizontal="center" vertical="center" wrapText="1"/>
      <protection locked="0"/>
    </xf>
    <xf numFmtId="177" fontId="12" fillId="0" borderId="2" xfId="0" applyNumberFormat="1" applyFont="1" applyBorder="1" applyAlignment="1" applyProtection="1">
      <alignment horizontal="center" vertical="center"/>
      <protection locked="0"/>
    </xf>
    <xf numFmtId="177" fontId="12" fillId="0" borderId="4" xfId="0" applyNumberFormat="1"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3" borderId="2" xfId="0" applyFill="1" applyBorder="1" applyAlignment="1" applyProtection="1">
      <alignment horizontal="center" vertical="center"/>
      <protection locked="0"/>
    </xf>
    <xf numFmtId="0" fontId="0" fillId="3" borderId="3" xfId="0" applyFill="1" applyBorder="1" applyAlignment="1" applyProtection="1">
      <alignment horizontal="center" vertical="center"/>
      <protection locked="0"/>
    </xf>
    <xf numFmtId="0" fontId="0" fillId="3" borderId="4" xfId="0" applyFill="1" applyBorder="1" applyAlignment="1" applyProtection="1">
      <alignment horizontal="center" vertical="center"/>
      <protection locked="0"/>
    </xf>
    <xf numFmtId="0" fontId="12" fillId="0" borderId="11" xfId="0" applyFont="1" applyBorder="1" applyAlignment="1" applyProtection="1">
      <alignment horizontal="center" vertical="center" wrapText="1"/>
    </xf>
    <xf numFmtId="0" fontId="12" fillId="3" borderId="2" xfId="0" applyFont="1" applyFill="1" applyBorder="1" applyAlignment="1" applyProtection="1">
      <alignment horizontal="center" vertical="center"/>
      <protection locked="0"/>
    </xf>
    <xf numFmtId="0" fontId="12" fillId="3" borderId="3" xfId="0" applyFont="1" applyFill="1"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4" xfId="0" applyBorder="1" applyProtection="1">
      <alignment vertical="center"/>
      <protection locked="0"/>
    </xf>
    <xf numFmtId="0" fontId="17" fillId="0" borderId="1" xfId="0" applyFont="1" applyBorder="1" applyAlignment="1" applyProtection="1">
      <alignment horizontal="center" vertical="center"/>
    </xf>
    <xf numFmtId="0" fontId="12" fillId="0" borderId="6" xfId="0" applyFont="1" applyBorder="1" applyAlignment="1" applyProtection="1">
      <alignment horizontal="left" vertical="top" wrapText="1"/>
      <protection locked="0"/>
    </xf>
    <xf numFmtId="0" fontId="12" fillId="0" borderId="7" xfId="0" applyFont="1" applyBorder="1" applyAlignment="1" applyProtection="1">
      <alignment horizontal="left" vertical="top" wrapText="1"/>
      <protection locked="0"/>
    </xf>
    <xf numFmtId="0" fontId="12" fillId="0" borderId="8" xfId="0" applyFont="1" applyBorder="1" applyAlignment="1" applyProtection="1">
      <alignment horizontal="center" vertical="center"/>
    </xf>
    <xf numFmtId="0" fontId="12" fillId="0" borderId="0" xfId="0" applyFont="1" applyAlignment="1" applyProtection="1">
      <alignment horizontal="center" vertical="center"/>
    </xf>
    <xf numFmtId="0" fontId="12" fillId="0" borderId="9" xfId="0" applyFont="1" applyBorder="1" applyAlignment="1" applyProtection="1">
      <alignment horizontal="center" vertical="center"/>
    </xf>
    <xf numFmtId="0" fontId="12" fillId="0" borderId="0" xfId="0" applyFont="1" applyAlignment="1" applyProtection="1">
      <alignment horizontal="left" vertical="top" wrapText="1"/>
      <protection locked="0"/>
    </xf>
    <xf numFmtId="0" fontId="12" fillId="0" borderId="9" xfId="0" applyFont="1" applyBorder="1" applyAlignment="1" applyProtection="1">
      <alignment horizontal="left" vertical="top" wrapText="1"/>
      <protection locked="0"/>
    </xf>
    <xf numFmtId="0" fontId="12" fillId="0" borderId="11" xfId="0" applyFont="1" applyBorder="1" applyAlignment="1" applyProtection="1">
      <alignment horizontal="left" vertical="top" wrapText="1"/>
      <protection locked="0"/>
    </xf>
    <xf numFmtId="0" fontId="12" fillId="0" borderId="12" xfId="0" applyFont="1" applyBorder="1" applyAlignment="1" applyProtection="1">
      <alignment horizontal="left" vertical="top" wrapText="1"/>
      <protection locked="0"/>
    </xf>
    <xf numFmtId="0" fontId="12" fillId="0" borderId="5" xfId="0" applyFont="1" applyBorder="1" applyAlignment="1" applyProtection="1">
      <alignment horizontal="center" vertical="center"/>
      <protection locked="0"/>
    </xf>
    <xf numFmtId="0" fontId="12" fillId="0" borderId="6" xfId="0" applyFont="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12" fillId="0" borderId="10" xfId="0" applyFont="1" applyBorder="1" applyAlignment="1" applyProtection="1">
      <alignment horizontal="center" vertical="center"/>
      <protection locked="0"/>
    </xf>
    <xf numFmtId="0" fontId="12" fillId="0" borderId="11"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0" xfId="0" applyFont="1" applyAlignment="1" applyProtection="1">
      <alignment horizontal="left" vertical="top" wrapText="1"/>
    </xf>
    <xf numFmtId="0" fontId="12" fillId="0" borderId="0" xfId="0" applyFont="1" applyAlignment="1" applyProtection="1">
      <alignment horizontal="left" vertical="top"/>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theme" Target="theme/theme1.xml"/><Relationship Id="rId4" Type="http://schemas.openxmlformats.org/officeDocument/2006/relationships/customXml" Target="../customXml/item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20-EC42-11CE-9E0D-00AA006002F3}" r:id="rId1" ax:persistence="persistStreamInit"/>
</file>

<file path=xl/activeX/activeX2.xml><?xml version="1.0" encoding="utf-8"?>
<ax:ocx xmlns:ax="http://schemas.microsoft.com/office/2006/activeX" xmlns:r="http://schemas.openxmlformats.org/officeDocument/2006/relationships" ax:classid="{8BD21D20-EC42-11CE-9E0D-00AA006002F3}" r:id="rId1" ax:persistence="persistStreamInit"/>
</file>

<file path=xl/activeX/activeX3.xml><?xml version="1.0" encoding="utf-8"?>
<ax:ocx xmlns:ax="http://schemas.microsoft.com/office/2006/activeX" xmlns:r="http://schemas.openxmlformats.org/officeDocument/2006/relationships" ax:classid="{8BD21D20-EC42-11CE-9E0D-00AA006002F3}"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4" Type="http://schemas.openxmlformats.org/officeDocument/2006/relationships/image" Target="../media/image10.png"/><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5" Type="http://schemas.openxmlformats.org/officeDocument/2006/relationships/image" Target="../media/image6.wmf"/><Relationship Id="rId4" Type="http://schemas.openxmlformats.org/officeDocument/2006/relationships/image" Target="../media/image5.wmf"/><Relationship Id="rId3" Type="http://schemas.openxmlformats.org/officeDocument/2006/relationships/image" Target="../media/image4.wmf"/><Relationship Id="rId2" Type="http://schemas.openxmlformats.org/officeDocument/2006/relationships/image" Target="../media/image3.wmf"/><Relationship Id="rId1" Type="http://schemas.openxmlformats.org/officeDocument/2006/relationships/image" Target="../media/image1.e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20</xdr:col>
          <xdr:colOff>19050</xdr:colOff>
          <xdr:row>69</xdr:row>
          <xdr:rowOff>34290</xdr:rowOff>
        </xdr:from>
        <xdr:to>
          <xdr:col>26</xdr:col>
          <xdr:colOff>210185</xdr:colOff>
          <xdr:row>69</xdr:row>
          <xdr:rowOff>862965</xdr:rowOff>
        </xdr:to>
        <xdr:pic>
          <xdr:nvPicPr>
            <xdr:cNvPr id="8" name="图片 7"/>
            <xdr:cNvPicPr>
              <a:picLocks noChangeAspect="1"/>
              <a:extLst>
                <a:ext uri="{84589F7E-364E-4C9E-8A38-B11213B215E9}">
                  <a14:cameraTool cellRange="底部图" spid="_x0000_s4101"/>
                </a:ext>
              </a:extLst>
            </xdr:cNvPicPr>
          </xdr:nvPicPr>
          <xdr:blipFill>
            <a:blip r:embed="rId1"/>
            <a:stretch>
              <a:fillRect/>
            </a:stretch>
          </xdr:blipFill>
          <xdr:spPr>
            <a:xfrm>
              <a:off x="3606165" y="18377535"/>
              <a:ext cx="1459230" cy="828675"/>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201385</xdr:colOff>
          <xdr:row>77</xdr:row>
          <xdr:rowOff>43543</xdr:rowOff>
        </xdr:from>
        <xdr:to>
          <xdr:col>28</xdr:col>
          <xdr:colOff>56605</xdr:colOff>
          <xdr:row>83</xdr:row>
          <xdr:rowOff>35288</xdr:rowOff>
        </xdr:to>
        <xdr:sp>
          <xdr:nvSpPr>
            <xdr:cNvPr id="1117" name="ListBox1" hidden="1">
              <a:extLst>
                <a:ext uri="{63B3BB69-23CF-44E3-9099-C40C66FF867C}">
                  <a14:compatExt spid="_x0000_s1117"/>
                </a:ext>
              </a:extLst>
            </xdr:cNvPr>
            <xdr:cNvSpPr/>
          </xdr:nvSpPr>
          <xdr:spPr>
            <a:xfrm>
              <a:off x="1502410" y="20548600"/>
              <a:ext cx="3907790" cy="9842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217714</xdr:colOff>
          <xdr:row>67</xdr:row>
          <xdr:rowOff>10886</xdr:rowOff>
        </xdr:from>
        <xdr:to>
          <xdr:col>19</xdr:col>
          <xdr:colOff>10886</xdr:colOff>
          <xdr:row>69</xdr:row>
          <xdr:rowOff>130629</xdr:rowOff>
        </xdr:to>
        <xdr:sp>
          <xdr:nvSpPr>
            <xdr:cNvPr id="1140" name="ListBox2" hidden="1">
              <a:extLst>
                <a:ext uri="{63B3BB69-23CF-44E3-9099-C40C66FF867C}">
                  <a14:compatExt spid="_x0000_s1140"/>
                </a:ext>
              </a:extLst>
            </xdr:cNvPr>
            <xdr:cNvSpPr/>
          </xdr:nvSpPr>
          <xdr:spPr>
            <a:xfrm>
              <a:off x="1518285" y="17642205"/>
              <a:ext cx="1895475" cy="8312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201385</xdr:colOff>
          <xdr:row>79</xdr:row>
          <xdr:rowOff>65314</xdr:rowOff>
        </xdr:from>
        <xdr:to>
          <xdr:col>28</xdr:col>
          <xdr:colOff>56605</xdr:colOff>
          <xdr:row>85</xdr:row>
          <xdr:rowOff>109129</xdr:rowOff>
        </xdr:to>
        <xdr:sp>
          <xdr:nvSpPr>
            <xdr:cNvPr id="1172" name="ListBox3" hidden="1">
              <a:extLst>
                <a:ext uri="{63B3BB69-23CF-44E3-9099-C40C66FF867C}">
                  <a14:compatExt spid="_x0000_s1172"/>
                </a:ext>
              </a:extLst>
            </xdr:cNvPr>
            <xdr:cNvSpPr/>
          </xdr:nvSpPr>
          <xdr:spPr>
            <a:xfrm>
              <a:off x="1502410" y="21079460"/>
              <a:ext cx="3907790" cy="9842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27214</xdr:colOff>
          <xdr:row>0</xdr:row>
          <xdr:rowOff>125186</xdr:rowOff>
        </xdr:from>
        <xdr:to>
          <xdr:col>38</xdr:col>
          <xdr:colOff>370114</xdr:colOff>
          <xdr:row>0</xdr:row>
          <xdr:rowOff>571500</xdr:rowOff>
        </xdr:to>
        <xdr:sp>
          <xdr:nvSpPr>
            <xdr:cNvPr id="1177" name="CommandButton1" hidden="1">
              <a:extLst>
                <a:ext uri="{63B3BB69-23CF-44E3-9099-C40C66FF867C}">
                  <a14:compatExt spid="_x0000_s1177"/>
                </a:ext>
              </a:extLst>
            </xdr:cNvPr>
            <xdr:cNvSpPr/>
          </xdr:nvSpPr>
          <xdr:spPr>
            <a:xfrm>
              <a:off x="7087870" y="125095"/>
              <a:ext cx="782320" cy="446405"/>
            </a:xfrm>
            <a:prstGeom prst="rect">
              <a:avLst/>
            </a:prstGeom>
          </xdr:spPr>
        </xdr:sp>
        <xdr:clientData/>
      </xdr:twoCellAnchor>
    </mc:Choice>
    <mc:Fallback/>
  </mc:AlternateContent>
  <xdr:twoCellAnchor editAs="oneCell">
    <xdr:from>
      <xdr:col>0</xdr:col>
      <xdr:colOff>153670</xdr:colOff>
      <xdr:row>0</xdr:row>
      <xdr:rowOff>46991</xdr:rowOff>
    </xdr:from>
    <xdr:to>
      <xdr:col>7</xdr:col>
      <xdr:colOff>20320</xdr:colOff>
      <xdr:row>1</xdr:row>
      <xdr:rowOff>2865</xdr:rowOff>
    </xdr:to>
    <xdr:pic>
      <xdr:nvPicPr>
        <xdr:cNvPr id="2" name="图片 1"/>
        <xdr:cNvPicPr>
          <a:picLocks noChangeAspect="1"/>
        </xdr:cNvPicPr>
      </xdr:nvPicPr>
      <xdr:blipFill>
        <a:blip r:embed="rId2"/>
        <a:stretch>
          <a:fillRect/>
        </a:stretch>
      </xdr:blipFill>
      <xdr:spPr>
        <a:xfrm>
          <a:off x="153670" y="46990"/>
          <a:ext cx="1390015" cy="591185"/>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38</xdr:col>
          <xdr:colOff>538843</xdr:colOff>
          <xdr:row>0</xdr:row>
          <xdr:rowOff>125186</xdr:rowOff>
        </xdr:from>
        <xdr:to>
          <xdr:col>44</xdr:col>
          <xdr:colOff>146957</xdr:colOff>
          <xdr:row>0</xdr:row>
          <xdr:rowOff>571500</xdr:rowOff>
        </xdr:to>
        <xdr:sp>
          <xdr:nvSpPr>
            <xdr:cNvPr id="4098" name="CommandButton2" hidden="1">
              <a:extLst>
                <a:ext uri="{63B3BB69-23CF-44E3-9099-C40C66FF867C}">
                  <a14:compatExt spid="_x0000_s4098"/>
                </a:ext>
              </a:extLst>
            </xdr:cNvPr>
            <xdr:cNvSpPr/>
          </xdr:nvSpPr>
          <xdr:spPr>
            <a:xfrm>
              <a:off x="8039100" y="125095"/>
              <a:ext cx="1098550" cy="44640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0</xdr:colOff>
      <xdr:row>256</xdr:row>
      <xdr:rowOff>0</xdr:rowOff>
    </xdr:from>
    <xdr:to>
      <xdr:col>2</xdr:col>
      <xdr:colOff>438785</xdr:colOff>
      <xdr:row>256</xdr:row>
      <xdr:rowOff>1066800</xdr:rowOff>
    </xdr:to>
    <xdr:pic>
      <xdr:nvPicPr>
        <xdr:cNvPr id="3" name="图片 2"/>
        <xdr:cNvPicPr>
          <a:picLocks noChangeAspect="1"/>
        </xdr:cNvPicPr>
      </xdr:nvPicPr>
      <xdr:blipFill>
        <a:blip r:embed="rId1"/>
        <a:stretch>
          <a:fillRect/>
        </a:stretch>
      </xdr:blipFill>
      <xdr:spPr>
        <a:xfrm>
          <a:off x="3594735" y="55481220"/>
          <a:ext cx="2162810" cy="1066800"/>
        </a:xfrm>
        <a:prstGeom prst="rect">
          <a:avLst/>
        </a:prstGeom>
        <a:noFill/>
        <a:ln w="9525">
          <a:noFill/>
        </a:ln>
      </xdr:spPr>
    </xdr:pic>
    <xdr:clientData/>
  </xdr:twoCellAnchor>
  <xdr:twoCellAnchor editAs="oneCell">
    <xdr:from>
      <xdr:col>1</xdr:col>
      <xdr:colOff>0</xdr:colOff>
      <xdr:row>255</xdr:row>
      <xdr:rowOff>0</xdr:rowOff>
    </xdr:from>
    <xdr:to>
      <xdr:col>2</xdr:col>
      <xdr:colOff>593090</xdr:colOff>
      <xdr:row>255</xdr:row>
      <xdr:rowOff>1106170</xdr:rowOff>
    </xdr:to>
    <xdr:pic>
      <xdr:nvPicPr>
        <xdr:cNvPr id="4" name="图片 3"/>
        <xdr:cNvPicPr>
          <a:picLocks noChangeAspect="1"/>
        </xdr:cNvPicPr>
      </xdr:nvPicPr>
      <xdr:blipFill>
        <a:blip r:embed="rId2"/>
        <a:stretch>
          <a:fillRect/>
        </a:stretch>
      </xdr:blipFill>
      <xdr:spPr>
        <a:xfrm>
          <a:off x="3594735" y="54338220"/>
          <a:ext cx="2317115" cy="1106170"/>
        </a:xfrm>
        <a:prstGeom prst="rect">
          <a:avLst/>
        </a:prstGeom>
        <a:noFill/>
        <a:ln w="9525">
          <a:noFill/>
        </a:ln>
      </xdr:spPr>
    </xdr:pic>
    <xdr:clientData/>
  </xdr:twoCellAnchor>
  <xdr:oneCellAnchor>
    <xdr:from>
      <xdr:col>15</xdr:col>
      <xdr:colOff>285750</xdr:colOff>
      <xdr:row>4</xdr:row>
      <xdr:rowOff>69850</xdr:rowOff>
    </xdr:from>
    <xdr:ext cx="2197100" cy="1066800"/>
    <xdr:pic>
      <xdr:nvPicPr>
        <xdr:cNvPr id="2" name="图片 1"/>
        <xdr:cNvPicPr>
          <a:picLocks noChangeAspect="1"/>
        </xdr:cNvPicPr>
      </xdr:nvPicPr>
      <xdr:blipFill>
        <a:blip r:embed="rId1"/>
        <a:stretch>
          <a:fillRect/>
        </a:stretch>
      </xdr:blipFill>
      <xdr:spPr>
        <a:xfrm>
          <a:off x="17792065" y="4641850"/>
          <a:ext cx="2197100" cy="1066800"/>
        </a:xfrm>
        <a:prstGeom prst="rect">
          <a:avLst/>
        </a:prstGeom>
        <a:noFill/>
        <a:ln w="9525">
          <a:noFill/>
        </a:ln>
      </xdr:spPr>
    </xdr:pic>
    <xdr:clientData/>
  </xdr:oneCellAnchor>
  <xdr:oneCellAnchor>
    <xdr:from>
      <xdr:col>15</xdr:col>
      <xdr:colOff>177800</xdr:colOff>
      <xdr:row>3</xdr:row>
      <xdr:rowOff>38100</xdr:rowOff>
    </xdr:from>
    <xdr:ext cx="2331085" cy="1106170"/>
    <xdr:pic>
      <xdr:nvPicPr>
        <xdr:cNvPr id="5" name="图片 4"/>
        <xdr:cNvPicPr>
          <a:picLocks noChangeAspect="1"/>
        </xdr:cNvPicPr>
      </xdr:nvPicPr>
      <xdr:blipFill>
        <a:blip r:embed="rId2"/>
        <a:stretch>
          <a:fillRect/>
        </a:stretch>
      </xdr:blipFill>
      <xdr:spPr>
        <a:xfrm>
          <a:off x="17684115" y="3467100"/>
          <a:ext cx="2331085" cy="1106170"/>
        </a:xfrm>
        <a:prstGeom prst="rect">
          <a:avLst/>
        </a:prstGeom>
        <a:noFill/>
        <a:ln w="9525">
          <a:noFill/>
        </a:ln>
      </xdr:spPr>
    </xdr:pic>
    <xdr:clientData/>
  </xdr:oneCellAnchor>
  <xdr:twoCellAnchor editAs="oneCell">
    <xdr:from>
      <xdr:col>19</xdr:col>
      <xdr:colOff>57151</xdr:colOff>
      <xdr:row>0</xdr:row>
      <xdr:rowOff>165100</xdr:rowOff>
    </xdr:from>
    <xdr:to>
      <xdr:col>19</xdr:col>
      <xdr:colOff>2001520</xdr:colOff>
      <xdr:row>0</xdr:row>
      <xdr:rowOff>1050255</xdr:rowOff>
    </xdr:to>
    <xdr:pic>
      <xdr:nvPicPr>
        <xdr:cNvPr id="10" name="图片 9"/>
        <xdr:cNvPicPr>
          <a:picLocks noChangeAspect="1"/>
        </xdr:cNvPicPr>
      </xdr:nvPicPr>
      <xdr:blipFill>
        <a:blip r:embed="rId3"/>
        <a:stretch>
          <a:fillRect/>
        </a:stretch>
      </xdr:blipFill>
      <xdr:spPr>
        <a:xfrm>
          <a:off x="23445470" y="165100"/>
          <a:ext cx="1944370" cy="884555"/>
        </a:xfrm>
        <a:prstGeom prst="rect">
          <a:avLst/>
        </a:prstGeom>
      </xdr:spPr>
    </xdr:pic>
    <xdr:clientData/>
  </xdr:twoCellAnchor>
  <xdr:twoCellAnchor editAs="oneCell">
    <xdr:from>
      <xdr:col>19</xdr:col>
      <xdr:colOff>50800</xdr:colOff>
      <xdr:row>1</xdr:row>
      <xdr:rowOff>88900</xdr:rowOff>
    </xdr:from>
    <xdr:to>
      <xdr:col>19</xdr:col>
      <xdr:colOff>2043430</xdr:colOff>
      <xdr:row>1</xdr:row>
      <xdr:rowOff>1013515</xdr:rowOff>
    </xdr:to>
    <xdr:pic>
      <xdr:nvPicPr>
        <xdr:cNvPr id="11" name="图片 10"/>
        <xdr:cNvPicPr>
          <a:picLocks noChangeAspect="1"/>
        </xdr:cNvPicPr>
      </xdr:nvPicPr>
      <xdr:blipFill>
        <a:blip r:embed="rId4"/>
        <a:stretch>
          <a:fillRect/>
        </a:stretch>
      </xdr:blipFill>
      <xdr:spPr>
        <a:xfrm>
          <a:off x="23439120" y="1231900"/>
          <a:ext cx="1992630" cy="924560"/>
        </a:xfrm>
        <a:prstGeom prst="rect">
          <a:avLst/>
        </a:prstGeom>
      </xdr:spPr>
    </xdr:pic>
    <xdr:clientData/>
  </xdr:twoCellAnchor>
</xdr:wsDr>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control" Target="../activeX/activeX3.xml"/><Relationship Id="rId7" Type="http://schemas.openxmlformats.org/officeDocument/2006/relationships/image" Target="../media/image4.wmf"/><Relationship Id="rId6" Type="http://schemas.openxmlformats.org/officeDocument/2006/relationships/control" Target="../activeX/activeX2.xml"/><Relationship Id="rId5" Type="http://schemas.openxmlformats.org/officeDocument/2006/relationships/image" Target="../media/image3.wmf"/><Relationship Id="rId4" Type="http://schemas.openxmlformats.org/officeDocument/2006/relationships/control" Target="../activeX/activeX1.xml"/><Relationship Id="rId3" Type="http://schemas.openxmlformats.org/officeDocument/2006/relationships/vmlDrawing" Target="../drawings/vmlDrawing1.vml"/><Relationship Id="rId2" Type="http://schemas.openxmlformats.org/officeDocument/2006/relationships/drawing" Target="../drawings/drawing1.xml"/><Relationship Id="rId12" Type="http://schemas.openxmlformats.org/officeDocument/2006/relationships/image" Target="../media/image6.wmf"/><Relationship Id="rId11" Type="http://schemas.openxmlformats.org/officeDocument/2006/relationships/control" Target="../activeX/activeX5.xml"/><Relationship Id="rId10" Type="http://schemas.openxmlformats.org/officeDocument/2006/relationships/image" Target="../media/image5.wmf"/><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BJ102"/>
  <sheetViews>
    <sheetView tabSelected="1" workbookViewId="0">
      <selection activeCell="AS38" sqref="AS38"/>
    </sheetView>
  </sheetViews>
  <sheetFormatPr defaultColWidth="9" defaultRowHeight="14.1"/>
  <cols>
    <col min="1" max="1" width="2.61261261261261" style="22" customWidth="1"/>
    <col min="2" max="2" width="4.45945945945946" style="22" customWidth="1"/>
    <col min="3" max="6" width="2.84684684684685" style="22" customWidth="1"/>
    <col min="7" max="7" width="3.15315315315315" style="22" customWidth="1"/>
    <col min="8" max="14" width="2.61261261261261" style="22" customWidth="1"/>
    <col min="15" max="15" width="4.15315315315315" style="22" customWidth="1"/>
    <col min="16" max="16" width="2.15315315315315" style="22" customWidth="1"/>
    <col min="17" max="17" width="1" style="22" customWidth="1"/>
    <col min="18" max="18" width="0.0720720720720721" style="22" customWidth="1"/>
    <col min="19" max="19" width="1" style="22" customWidth="1"/>
    <col min="20" max="20" width="2.61261261261261" style="22" customWidth="1"/>
    <col min="21" max="21" width="3.53153153153153" style="22" customWidth="1"/>
    <col min="22" max="22" width="2.61261261261261" style="22" customWidth="1"/>
    <col min="23" max="23" width="2.23423423423423" style="22" customWidth="1"/>
    <col min="24" max="24" width="0.846846846846847" style="22" customWidth="1"/>
    <col min="25" max="25" width="5.91891891891892" style="22" customWidth="1"/>
    <col min="26" max="26" width="2.84684684684685" style="22" customWidth="1"/>
    <col min="27" max="27" width="3.45945945945946" style="22" customWidth="1"/>
    <col min="28" max="28" width="3.61261261261261" style="22" customWidth="1"/>
    <col min="29" max="29" width="1.23423423423423" style="22" customWidth="1"/>
    <col min="30" max="30" width="2.61261261261261" style="22" customWidth="1"/>
    <col min="31" max="31" width="5" style="22" customWidth="1"/>
    <col min="32" max="32" width="1.37837837837838" style="22" customWidth="1"/>
    <col min="33" max="33" width="1.23423423423423" style="22" customWidth="1"/>
    <col min="34" max="34" width="2" style="22" customWidth="1"/>
    <col min="35" max="35" width="3.37837837837838" style="22" customWidth="1"/>
    <col min="36" max="37" width="3.69369369369369" style="22" customWidth="1"/>
    <col min="38" max="38" width="6.23423423423423" style="22" customWidth="1"/>
    <col min="39" max="39" width="8" style="22" customWidth="1"/>
    <col min="40" max="42" width="2.61261261261261" style="22" customWidth="1"/>
    <col min="43" max="43" width="2.69369369369369" style="22" customWidth="1"/>
    <col min="44" max="48" width="2.61261261261261" style="22" customWidth="1"/>
    <col min="49" max="50" width="9" style="22"/>
    <col min="51" max="51" width="8.61261261261261" style="22" customWidth="1"/>
    <col min="52" max="53" width="9" style="22"/>
    <col min="54" max="54" width="9.15315315315315" style="22" customWidth="1"/>
    <col min="55" max="55" width="7.37837837837838" style="22" customWidth="1"/>
    <col min="56" max="59" width="9" style="22" hidden="1" customWidth="1"/>
    <col min="60" max="60" width="6.23423423423423" style="22" hidden="1" customWidth="1"/>
    <col min="61" max="16384" width="9" style="22"/>
  </cols>
  <sheetData>
    <row r="1" ht="50.05" customHeight="1" spans="1:60">
      <c r="A1" s="23"/>
      <c r="B1" s="23"/>
      <c r="C1" s="23"/>
      <c r="D1" s="23"/>
      <c r="E1" s="23"/>
      <c r="F1" s="23"/>
      <c r="G1" s="23"/>
      <c r="H1" s="23"/>
      <c r="I1" s="24" t="s">
        <v>0</v>
      </c>
      <c r="J1" s="25"/>
      <c r="K1" s="25"/>
      <c r="L1" s="25"/>
      <c r="M1" s="25"/>
      <c r="N1" s="25"/>
      <c r="O1" s="25"/>
      <c r="P1" s="25"/>
      <c r="Q1" s="25"/>
      <c r="R1" s="25"/>
      <c r="S1" s="25"/>
      <c r="T1" s="25"/>
      <c r="U1" s="25"/>
      <c r="V1" s="25"/>
      <c r="W1" s="25"/>
      <c r="X1" s="25"/>
      <c r="Y1" s="25"/>
      <c r="Z1" s="25"/>
      <c r="AA1" s="25"/>
      <c r="AB1" s="25"/>
      <c r="AC1" s="25"/>
      <c r="AD1" s="25"/>
      <c r="AE1" s="25"/>
      <c r="AF1" s="26" t="s">
        <v>1</v>
      </c>
      <c r="AG1" s="26"/>
      <c r="AH1" s="26"/>
      <c r="AI1" s="26"/>
      <c r="AJ1" s="27"/>
      <c r="AZ1" s="21"/>
      <c r="BA1" s="21"/>
      <c r="BB1" s="21"/>
      <c r="BC1" s="21"/>
      <c r="BD1" s="21"/>
      <c r="BE1" s="21"/>
      <c r="BF1" s="21"/>
      <c r="BG1" s="21"/>
      <c r="BH1" s="21"/>
    </row>
    <row r="2" ht="18" customHeight="1" spans="1:60">
      <c r="A2" s="28" t="s">
        <v>2</v>
      </c>
      <c r="B2" s="28"/>
      <c r="C2" s="28"/>
      <c r="D2" s="29" t="s">
        <v>3</v>
      </c>
      <c r="E2" s="29"/>
      <c r="F2" s="29"/>
      <c r="G2" s="29"/>
      <c r="H2" s="29"/>
      <c r="I2" s="29"/>
      <c r="J2" s="29"/>
      <c r="K2" s="29"/>
      <c r="L2" s="29"/>
      <c r="M2" s="29"/>
      <c r="N2" s="29"/>
      <c r="O2" s="29"/>
      <c r="P2" s="29"/>
      <c r="Q2" s="29"/>
      <c r="R2" s="29"/>
      <c r="S2" s="28" t="s">
        <v>4</v>
      </c>
      <c r="T2" s="28"/>
      <c r="U2" s="28"/>
      <c r="V2" s="28"/>
      <c r="W2" s="28"/>
      <c r="X2" s="28"/>
      <c r="Y2" s="28"/>
      <c r="Z2" s="30"/>
      <c r="AA2" s="30"/>
      <c r="AB2" s="30"/>
      <c r="AC2" s="30"/>
      <c r="AD2" s="30"/>
      <c r="AE2" s="30"/>
      <c r="AF2" s="30"/>
      <c r="AG2" s="30"/>
      <c r="AH2" s="30"/>
      <c r="AI2" s="30"/>
      <c r="AJ2" s="30"/>
      <c r="AL2" s="31" t="s">
        <v>5</v>
      </c>
      <c r="AM2" s="31"/>
      <c r="AN2" s="31"/>
      <c r="AO2" s="31"/>
      <c r="AP2" s="31"/>
      <c r="AQ2" s="31"/>
      <c r="AR2" s="31"/>
      <c r="AS2" s="31"/>
      <c r="AT2" s="31"/>
      <c r="AU2" s="31"/>
      <c r="AV2" s="31"/>
      <c r="AW2" s="31"/>
      <c r="AX2" s="31"/>
      <c r="AY2" s="32"/>
      <c r="AZ2" s="21"/>
      <c r="BA2" s="21"/>
      <c r="BB2" s="21"/>
      <c r="BC2" s="21"/>
      <c r="BD2" s="21"/>
      <c r="BE2" s="21"/>
      <c r="BF2" s="21"/>
      <c r="BG2" s="21"/>
      <c r="BH2" s="21"/>
    </row>
    <row r="3" ht="18" customHeight="1" spans="1:60">
      <c r="A3" s="28" t="s">
        <v>6</v>
      </c>
      <c r="B3" s="28"/>
      <c r="C3" s="28"/>
      <c r="D3" s="33"/>
      <c r="E3" s="34"/>
      <c r="F3" s="34"/>
      <c r="G3" s="34"/>
      <c r="H3" s="34"/>
      <c r="I3" s="34"/>
      <c r="J3" s="34"/>
      <c r="K3" s="34"/>
      <c r="L3" s="34"/>
      <c r="M3" s="34"/>
      <c r="N3" s="34"/>
      <c r="O3" s="34"/>
      <c r="P3" s="34"/>
      <c r="Q3" s="34"/>
      <c r="R3" s="35"/>
      <c r="S3" s="28" t="s">
        <v>7</v>
      </c>
      <c r="T3" s="28"/>
      <c r="U3" s="28"/>
      <c r="V3" s="28"/>
      <c r="W3" s="28"/>
      <c r="X3" s="28"/>
      <c r="Y3" s="28"/>
      <c r="Z3" s="36"/>
      <c r="AA3" s="36"/>
      <c r="AB3" s="36"/>
      <c r="AC3" s="36"/>
      <c r="AD3" s="36"/>
      <c r="AE3" s="36"/>
      <c r="AF3" s="36"/>
      <c r="AG3" s="36"/>
      <c r="AH3" s="36"/>
      <c r="AI3" s="36"/>
      <c r="AJ3" s="36"/>
      <c r="AL3" s="31"/>
      <c r="AM3" s="31"/>
      <c r="AN3" s="31"/>
      <c r="AO3" s="31"/>
      <c r="AP3" s="31"/>
      <c r="AQ3" s="31"/>
      <c r="AR3" s="31"/>
      <c r="AS3" s="31"/>
      <c r="AT3" s="31"/>
      <c r="AU3" s="31"/>
      <c r="AV3" s="31"/>
      <c r="AW3" s="31"/>
      <c r="AX3" s="31"/>
      <c r="AY3" s="32"/>
      <c r="AZ3" s="21"/>
      <c r="BA3" s="21"/>
      <c r="BB3" s="21"/>
      <c r="BC3" s="21"/>
      <c r="BD3" s="21"/>
      <c r="BE3" s="21"/>
      <c r="BF3" s="21"/>
      <c r="BG3" s="21"/>
      <c r="BH3" s="21"/>
    </row>
    <row r="4" ht="18" customHeight="1" spans="1:60">
      <c r="A4" s="37" t="s">
        <v>8</v>
      </c>
      <c r="B4" s="37"/>
      <c r="C4" s="37"/>
      <c r="D4" s="3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L4" s="31"/>
      <c r="AM4" s="31"/>
      <c r="AN4" s="31"/>
      <c r="AO4" s="31"/>
      <c r="AP4" s="31"/>
      <c r="AQ4" s="31"/>
      <c r="AR4" s="31"/>
      <c r="AS4" s="31"/>
      <c r="AT4" s="31"/>
      <c r="AU4" s="31"/>
      <c r="AV4" s="31"/>
      <c r="AW4" s="31"/>
      <c r="AX4" s="31"/>
      <c r="AY4" s="32"/>
      <c r="AZ4" s="21"/>
      <c r="BA4" s="21"/>
      <c r="BB4" s="21"/>
      <c r="BC4" s="21"/>
      <c r="BD4" s="21"/>
      <c r="BE4" s="21"/>
      <c r="BF4" s="21"/>
      <c r="BG4" s="21"/>
      <c r="BH4" s="21"/>
    </row>
    <row r="5" ht="18" customHeight="1" spans="1:60">
      <c r="A5" s="38" t="s">
        <v>6</v>
      </c>
      <c r="B5" s="28"/>
      <c r="C5" s="28"/>
      <c r="D5" s="33"/>
      <c r="E5" s="34"/>
      <c r="F5" s="34"/>
      <c r="G5" s="34"/>
      <c r="H5" s="34"/>
      <c r="I5" s="34"/>
      <c r="J5" s="34"/>
      <c r="K5" s="34"/>
      <c r="L5" s="34"/>
      <c r="M5" s="34"/>
      <c r="N5" s="34"/>
      <c r="O5" s="34"/>
      <c r="P5" s="34"/>
      <c r="Q5" s="34"/>
      <c r="R5" s="35"/>
      <c r="S5" s="39" t="s">
        <v>9</v>
      </c>
      <c r="T5" s="40"/>
      <c r="U5" s="40"/>
      <c r="V5" s="40"/>
      <c r="W5" s="40"/>
      <c r="X5" s="40"/>
      <c r="Y5" s="41"/>
      <c r="Z5" s="30"/>
      <c r="AA5" s="30"/>
      <c r="AB5" s="30"/>
      <c r="AC5" s="30"/>
      <c r="AD5" s="30"/>
      <c r="AE5" s="30"/>
      <c r="AF5" s="30"/>
      <c r="AG5" s="30"/>
      <c r="AH5" s="30"/>
      <c r="AI5" s="30"/>
      <c r="AJ5" s="30"/>
      <c r="AL5" s="31"/>
      <c r="AM5" s="31"/>
      <c r="AN5" s="31"/>
      <c r="AO5" s="31"/>
      <c r="AP5" s="31"/>
      <c r="AQ5" s="31"/>
      <c r="AR5" s="31"/>
      <c r="AS5" s="31"/>
      <c r="AT5" s="31"/>
      <c r="AU5" s="31"/>
      <c r="AV5" s="31"/>
      <c r="AW5" s="31"/>
      <c r="AX5" s="31"/>
      <c r="AY5" s="32"/>
      <c r="AZ5" s="21"/>
      <c r="BA5" s="21"/>
      <c r="BB5" s="21"/>
      <c r="BC5" s="21"/>
      <c r="BD5" s="21"/>
      <c r="BE5" s="21"/>
      <c r="BF5" s="21"/>
      <c r="BG5" s="21"/>
      <c r="BH5" s="21"/>
    </row>
    <row r="6" ht="18" customHeight="1" spans="1:60">
      <c r="A6" s="28" t="s">
        <v>10</v>
      </c>
      <c r="B6" s="28"/>
      <c r="C6" s="28"/>
      <c r="D6" s="33"/>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5"/>
      <c r="AL6" s="31"/>
      <c r="AM6" s="31"/>
      <c r="AN6" s="31"/>
      <c r="AO6" s="31"/>
      <c r="AP6" s="31"/>
      <c r="AQ6" s="31"/>
      <c r="AR6" s="31"/>
      <c r="AS6" s="31"/>
      <c r="AT6" s="31"/>
      <c r="AU6" s="31"/>
      <c r="AV6" s="31"/>
      <c r="AW6" s="31"/>
      <c r="AX6" s="31"/>
      <c r="AY6" s="32"/>
      <c r="AZ6" s="21"/>
      <c r="BA6" s="21"/>
      <c r="BB6" s="21"/>
      <c r="BC6" s="21"/>
      <c r="BD6" s="21"/>
      <c r="BE6" s="21"/>
      <c r="BF6" s="21"/>
      <c r="BG6" s="21"/>
      <c r="BH6" s="21"/>
    </row>
    <row r="7" ht="18" customHeight="1" spans="1:60">
      <c r="A7" s="37" t="s">
        <v>11</v>
      </c>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L7" s="31"/>
      <c r="AM7" s="31"/>
      <c r="AN7" s="31"/>
      <c r="AO7" s="31"/>
      <c r="AP7" s="31"/>
      <c r="AQ7" s="31"/>
      <c r="AR7" s="31"/>
      <c r="AS7" s="31"/>
      <c r="AT7" s="31"/>
      <c r="AU7" s="31"/>
      <c r="AV7" s="31"/>
      <c r="AW7" s="31"/>
      <c r="AX7" s="31"/>
      <c r="AY7" s="32"/>
    </row>
    <row r="8" ht="18" customHeight="1" spans="1:60">
      <c r="A8" s="28" t="s">
        <v>12</v>
      </c>
      <c r="B8" s="28"/>
      <c r="C8" s="28"/>
      <c r="D8" s="28"/>
      <c r="E8" s="28"/>
      <c r="F8" s="28"/>
      <c r="G8" s="28"/>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L8" s="31"/>
      <c r="AM8" s="31"/>
      <c r="AN8" s="31"/>
      <c r="AO8" s="31"/>
      <c r="AP8" s="31"/>
      <c r="AQ8" s="31"/>
      <c r="AR8" s="31"/>
      <c r="AS8" s="31"/>
      <c r="AT8" s="31"/>
      <c r="AU8" s="31"/>
      <c r="AV8" s="31"/>
      <c r="AW8" s="31"/>
      <c r="AX8" s="31"/>
      <c r="AY8" s="32"/>
    </row>
    <row r="9" ht="18" customHeight="1" spans="1:60">
      <c r="A9" s="28" t="s">
        <v>13</v>
      </c>
      <c r="B9" s="28"/>
      <c r="C9" s="28"/>
      <c r="D9" s="28"/>
      <c r="E9" s="28"/>
      <c r="F9" s="28"/>
      <c r="G9" s="28"/>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L9" s="31"/>
      <c r="AM9" s="31"/>
      <c r="AN9" s="31"/>
      <c r="AO9" s="31"/>
      <c r="AP9" s="31"/>
      <c r="AQ9" s="31"/>
      <c r="AR9" s="31"/>
      <c r="AS9" s="31"/>
      <c r="AT9" s="31"/>
      <c r="AU9" s="31"/>
      <c r="AV9" s="31"/>
      <c r="AW9" s="31"/>
      <c r="AX9" s="31"/>
      <c r="AY9" s="32"/>
    </row>
    <row r="10" ht="18" hidden="1" customHeight="1" spans="1:60">
      <c r="A10" s="42" t="s">
        <v>14</v>
      </c>
      <c r="B10" s="42"/>
      <c r="C10" s="42"/>
      <c r="D10" s="42"/>
      <c r="E10" s="42"/>
      <c r="F10" s="42"/>
      <c r="G10" s="42"/>
      <c r="H10" s="43" t="s">
        <v>15</v>
      </c>
      <c r="I10" s="43"/>
      <c r="J10" s="43"/>
      <c r="K10" s="43"/>
      <c r="L10" s="43"/>
      <c r="M10" s="43"/>
      <c r="N10" s="43"/>
      <c r="O10" s="43"/>
      <c r="P10" s="43"/>
      <c r="Q10" s="43"/>
      <c r="R10" s="43"/>
      <c r="S10" s="42" t="s">
        <v>16</v>
      </c>
      <c r="T10" s="42"/>
      <c r="U10" s="42"/>
      <c r="V10" s="42"/>
      <c r="W10" s="42"/>
      <c r="X10" s="42"/>
      <c r="Y10" s="42"/>
      <c r="Z10" s="44"/>
      <c r="AA10" s="44"/>
      <c r="AB10" s="44"/>
      <c r="AC10" s="44"/>
      <c r="AD10" s="44"/>
      <c r="AE10" s="44"/>
      <c r="AF10" s="44"/>
      <c r="AG10" s="44"/>
      <c r="AH10" s="44"/>
      <c r="AI10" s="44"/>
      <c r="AJ10" s="44"/>
      <c r="AL10" s="31"/>
      <c r="AM10" s="31"/>
      <c r="AN10" s="31"/>
      <c r="AO10" s="31"/>
      <c r="AP10" s="31"/>
      <c r="AQ10" s="31"/>
      <c r="AR10" s="31"/>
      <c r="AS10" s="31"/>
      <c r="AT10" s="31"/>
      <c r="AU10" s="31"/>
      <c r="AV10" s="31"/>
      <c r="AW10" s="31"/>
      <c r="AX10" s="31"/>
      <c r="AY10" s="32"/>
    </row>
    <row r="11" ht="18" customHeight="1" spans="1:60">
      <c r="A11" s="28" t="s">
        <v>17</v>
      </c>
      <c r="B11" s="28"/>
      <c r="C11" s="28"/>
      <c r="D11" s="28"/>
      <c r="E11" s="28"/>
      <c r="F11" s="28"/>
      <c r="G11" s="28"/>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L11" s="31"/>
      <c r="AM11" s="31"/>
      <c r="AN11" s="31"/>
      <c r="AO11" s="31"/>
      <c r="AP11" s="31"/>
      <c r="AQ11" s="31"/>
      <c r="AR11" s="31"/>
      <c r="AS11" s="31"/>
      <c r="AT11" s="31"/>
      <c r="AU11" s="31"/>
      <c r="AV11" s="31"/>
      <c r="AW11" s="31"/>
      <c r="AX11" s="31"/>
      <c r="AY11" s="32"/>
    </row>
    <row r="12" ht="18" customHeight="1" spans="1:60">
      <c r="A12" s="28" t="s">
        <v>18</v>
      </c>
      <c r="B12" s="28"/>
      <c r="C12" s="28"/>
      <c r="D12" s="28"/>
      <c r="E12" s="28"/>
      <c r="F12" s="28"/>
      <c r="G12" s="28"/>
      <c r="H12" s="30"/>
      <c r="I12" s="30"/>
      <c r="J12" s="30"/>
      <c r="K12" s="30"/>
      <c r="L12" s="30"/>
      <c r="M12" s="30"/>
      <c r="N12" s="30"/>
      <c r="O12" s="30"/>
      <c r="P12" s="30"/>
      <c r="Q12" s="30"/>
      <c r="R12" s="30"/>
      <c r="S12" s="28" t="s">
        <v>19</v>
      </c>
      <c r="T12" s="28"/>
      <c r="U12" s="28"/>
      <c r="V12" s="28"/>
      <c r="W12" s="28"/>
      <c r="X12" s="28"/>
      <c r="Y12" s="28"/>
      <c r="Z12" s="29"/>
      <c r="AA12" s="29"/>
      <c r="AB12" s="29"/>
      <c r="AC12" s="29"/>
      <c r="AD12" s="29"/>
      <c r="AE12" s="29"/>
      <c r="AF12" s="29"/>
      <c r="AG12" s="29"/>
      <c r="AH12" s="29"/>
      <c r="AI12" s="29"/>
      <c r="AJ12" s="29"/>
      <c r="AL12" s="31"/>
      <c r="AM12" s="31"/>
      <c r="AN12" s="31"/>
      <c r="AO12" s="31"/>
      <c r="AP12" s="31"/>
      <c r="AQ12" s="31"/>
      <c r="AR12" s="31"/>
      <c r="AS12" s="31"/>
      <c r="AT12" s="31"/>
      <c r="AU12" s="31"/>
      <c r="AV12" s="31"/>
      <c r="AW12" s="31"/>
      <c r="AX12" s="31"/>
      <c r="AY12" s="32"/>
    </row>
    <row r="13" ht="18" customHeight="1" spans="1:60">
      <c r="A13" s="28" t="s">
        <v>20</v>
      </c>
      <c r="B13" s="28"/>
      <c r="C13" s="28"/>
      <c r="D13" s="28"/>
      <c r="E13" s="28"/>
      <c r="F13" s="28"/>
      <c r="G13" s="28"/>
      <c r="H13" s="30"/>
      <c r="I13" s="30"/>
      <c r="J13" s="30"/>
      <c r="K13" s="30"/>
      <c r="L13" s="30"/>
      <c r="M13" s="30"/>
      <c r="N13" s="30"/>
      <c r="O13" s="30"/>
      <c r="P13" s="30"/>
      <c r="Q13" s="30"/>
      <c r="R13" s="30"/>
      <c r="S13" s="28" t="s">
        <v>21</v>
      </c>
      <c r="T13" s="28"/>
      <c r="U13" s="28"/>
      <c r="V13" s="28"/>
      <c r="W13" s="28"/>
      <c r="X13" s="28"/>
      <c r="Y13" s="28"/>
      <c r="Z13" s="30"/>
      <c r="AA13" s="30"/>
      <c r="AB13" s="30"/>
      <c r="AC13" s="30"/>
      <c r="AD13" s="30"/>
      <c r="AE13" s="30"/>
      <c r="AF13" s="30"/>
      <c r="AG13" s="30"/>
      <c r="AH13" s="30"/>
      <c r="AI13" s="30"/>
      <c r="AJ13" s="30"/>
      <c r="AL13" s="31"/>
      <c r="AM13" s="31"/>
      <c r="AN13" s="31"/>
      <c r="AO13" s="31"/>
      <c r="AP13" s="31"/>
      <c r="AQ13" s="31"/>
      <c r="AR13" s="31"/>
      <c r="AS13" s="31"/>
      <c r="AT13" s="31"/>
      <c r="AU13" s="31"/>
      <c r="AV13" s="31"/>
      <c r="AW13" s="31"/>
      <c r="AX13" s="31"/>
      <c r="AY13" s="32"/>
    </row>
    <row r="14" ht="18" hidden="1" customHeight="1" spans="1:60">
      <c r="A14" s="42" t="s">
        <v>22</v>
      </c>
      <c r="B14" s="42"/>
      <c r="C14" s="42"/>
      <c r="D14" s="42"/>
      <c r="E14" s="42"/>
      <c r="F14" s="42"/>
      <c r="G14" s="42"/>
      <c r="H14" s="44"/>
      <c r="I14" s="44"/>
      <c r="J14" s="44"/>
      <c r="K14" s="44"/>
      <c r="L14" s="44"/>
      <c r="M14" s="44"/>
      <c r="N14" s="44"/>
      <c r="O14" s="44"/>
      <c r="P14" s="44"/>
      <c r="Q14" s="44"/>
      <c r="R14" s="44"/>
      <c r="S14" s="42" t="s">
        <v>23</v>
      </c>
      <c r="T14" s="42"/>
      <c r="U14" s="42"/>
      <c r="V14" s="42"/>
      <c r="W14" s="42"/>
      <c r="X14" s="42"/>
      <c r="Y14" s="42"/>
      <c r="Z14" s="44"/>
      <c r="AA14" s="44"/>
      <c r="AB14" s="44"/>
      <c r="AC14" s="44"/>
      <c r="AD14" s="44"/>
      <c r="AE14" s="44"/>
      <c r="AF14" s="44"/>
      <c r="AG14" s="44"/>
      <c r="AH14" s="44"/>
      <c r="AI14" s="44"/>
      <c r="AJ14" s="44"/>
      <c r="AL14" s="31"/>
      <c r="AM14" s="31"/>
      <c r="AN14" s="31"/>
      <c r="AO14" s="31"/>
      <c r="AP14" s="31"/>
      <c r="AQ14" s="31"/>
      <c r="AR14" s="31"/>
      <c r="AS14" s="31"/>
      <c r="AT14" s="31"/>
      <c r="AU14" s="31"/>
      <c r="AV14" s="31"/>
      <c r="AW14" s="31"/>
      <c r="AX14" s="31"/>
      <c r="AY14" s="32"/>
    </row>
    <row r="15" ht="18" customHeight="1" spans="1:60">
      <c r="A15" s="37" t="s">
        <v>24</v>
      </c>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7"/>
      <c r="AI15" s="37"/>
      <c r="AJ15" s="37"/>
      <c r="AL15" s="31"/>
      <c r="AM15" s="31"/>
      <c r="AN15" s="31"/>
      <c r="AO15" s="31"/>
      <c r="AP15" s="31"/>
      <c r="AQ15" s="31"/>
      <c r="AR15" s="31"/>
      <c r="AS15" s="31"/>
      <c r="AT15" s="31"/>
      <c r="AU15" s="31"/>
      <c r="AV15" s="31"/>
      <c r="AW15" s="31"/>
      <c r="AX15" s="31"/>
      <c r="AY15" s="32"/>
    </row>
    <row r="16" ht="36" customHeight="1" spans="1:60">
      <c r="A16" s="28" t="s">
        <v>25</v>
      </c>
      <c r="B16" s="28"/>
      <c r="C16" s="28"/>
      <c r="D16" s="28"/>
      <c r="E16" s="28"/>
      <c r="F16" s="28"/>
      <c r="G16" s="28"/>
      <c r="H16" s="30" t="s">
        <v>26</v>
      </c>
      <c r="I16" s="30"/>
      <c r="J16" s="30"/>
      <c r="K16" s="30"/>
      <c r="L16" s="30"/>
      <c r="M16" s="30"/>
      <c r="N16" s="30"/>
      <c r="O16" s="30"/>
      <c r="P16" s="30"/>
      <c r="Q16" s="30"/>
      <c r="R16" s="30"/>
      <c r="S16" s="45" t="s">
        <v>27</v>
      </c>
      <c r="T16" s="46"/>
      <c r="U16" s="46"/>
      <c r="V16" s="46"/>
      <c r="W16" s="46"/>
      <c r="X16" s="46"/>
      <c r="Y16" s="46"/>
      <c r="Z16" s="47"/>
      <c r="AA16" s="47"/>
      <c r="AB16" s="47"/>
      <c r="AC16" s="47"/>
      <c r="AD16" s="47"/>
      <c r="AE16" s="47"/>
      <c r="AF16" s="47"/>
      <c r="AG16" s="47"/>
      <c r="AH16" s="47"/>
      <c r="AI16" s="47"/>
      <c r="AJ16" s="47"/>
      <c r="AL16" s="31"/>
      <c r="AM16" s="31"/>
      <c r="AN16" s="31"/>
      <c r="AO16" s="31"/>
      <c r="AP16" s="31"/>
      <c r="AQ16" s="31"/>
      <c r="AR16" s="31"/>
      <c r="AS16" s="31"/>
      <c r="AT16" s="31"/>
      <c r="AU16" s="31"/>
      <c r="AV16" s="31"/>
      <c r="AW16" s="31"/>
      <c r="AX16" s="31"/>
      <c r="AY16" s="32"/>
    </row>
    <row r="17" ht="36" customHeight="1" spans="1:51">
      <c r="A17" s="28" t="s">
        <v>28</v>
      </c>
      <c r="B17" s="28"/>
      <c r="C17" s="28"/>
      <c r="D17" s="28"/>
      <c r="E17" s="28"/>
      <c r="F17" s="28"/>
      <c r="G17" s="28"/>
      <c r="H17" s="48" t="s">
        <v>29</v>
      </c>
      <c r="I17" s="48"/>
      <c r="J17" s="48"/>
      <c r="K17" s="48"/>
      <c r="L17" s="48"/>
      <c r="M17" s="48"/>
      <c r="N17" s="48"/>
      <c r="O17" s="48"/>
      <c r="P17" s="48" t="s">
        <v>30</v>
      </c>
      <c r="Q17" s="30"/>
      <c r="R17" s="30"/>
      <c r="S17" s="30"/>
      <c r="T17" s="30"/>
      <c r="U17" s="30"/>
      <c r="V17" s="30"/>
      <c r="W17" s="30"/>
      <c r="X17" s="30"/>
      <c r="Y17" s="30"/>
      <c r="Z17" s="30"/>
      <c r="AA17" s="30"/>
      <c r="AB17" s="48" t="s">
        <v>31</v>
      </c>
      <c r="AC17" s="48"/>
      <c r="AD17" s="48"/>
      <c r="AE17" s="48"/>
      <c r="AF17" s="48"/>
      <c r="AG17" s="48"/>
      <c r="AH17" s="48"/>
      <c r="AI17" s="48"/>
      <c r="AJ17" s="48"/>
      <c r="AL17" s="32"/>
      <c r="AM17" s="32"/>
      <c r="AN17" s="32"/>
      <c r="AO17" s="32"/>
      <c r="AP17" s="32"/>
      <c r="AQ17" s="32"/>
      <c r="AR17" s="32"/>
      <c r="AS17" s="32"/>
      <c r="AT17" s="32"/>
      <c r="AU17" s="32"/>
      <c r="AV17" s="32"/>
      <c r="AW17" s="32"/>
      <c r="AX17" s="32"/>
      <c r="AY17" s="32"/>
    </row>
    <row r="18" ht="36" customHeight="1" spans="1:51">
      <c r="A18" s="49" t="s">
        <v>32</v>
      </c>
      <c r="B18" s="49"/>
      <c r="C18" s="49"/>
      <c r="D18" s="49"/>
      <c r="E18" s="49"/>
      <c r="F18" s="49"/>
      <c r="G18" s="49"/>
      <c r="H18" s="50" t="s">
        <v>33</v>
      </c>
      <c r="I18" s="50"/>
      <c r="J18" s="50"/>
      <c r="K18" s="50"/>
      <c r="L18" s="50"/>
      <c r="M18" s="50"/>
      <c r="N18" s="50"/>
      <c r="O18" s="50"/>
      <c r="P18" s="50" t="s">
        <v>34</v>
      </c>
      <c r="Q18" s="51"/>
      <c r="R18" s="51"/>
      <c r="S18" s="51"/>
      <c r="T18" s="51"/>
      <c r="U18" s="51"/>
      <c r="V18" s="51"/>
      <c r="W18" s="51"/>
      <c r="X18" s="51"/>
      <c r="Y18" s="51"/>
      <c r="Z18" s="51"/>
      <c r="AA18" s="51"/>
      <c r="AB18" s="50" t="s">
        <v>35</v>
      </c>
      <c r="AC18" s="50"/>
      <c r="AD18" s="50"/>
      <c r="AE18" s="50"/>
      <c r="AF18" s="50"/>
      <c r="AG18" s="50"/>
      <c r="AH18" s="50"/>
      <c r="AI18" s="50"/>
      <c r="AJ18" s="50"/>
      <c r="AL18" s="32"/>
      <c r="AM18" s="32"/>
      <c r="AN18" s="32"/>
      <c r="AO18" s="32"/>
      <c r="AP18" s="32"/>
      <c r="AQ18" s="32"/>
      <c r="AR18" s="32"/>
      <c r="AS18" s="32"/>
      <c r="AT18" s="32"/>
      <c r="AU18" s="32"/>
      <c r="AV18" s="32"/>
      <c r="AW18" s="32"/>
      <c r="AX18" s="32"/>
      <c r="AY18" s="32"/>
    </row>
    <row r="19" ht="36" customHeight="1" spans="1:51">
      <c r="A19" s="52" t="s">
        <v>36</v>
      </c>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4"/>
      <c r="AL19" s="55"/>
      <c r="AM19" s="55"/>
      <c r="AN19" s="55"/>
      <c r="AO19" s="55"/>
      <c r="AP19" s="55"/>
      <c r="AQ19" s="55"/>
      <c r="AR19" s="55"/>
      <c r="AS19" s="55"/>
      <c r="AT19" s="55"/>
      <c r="AU19" s="55"/>
      <c r="AV19" s="55"/>
      <c r="AW19" s="55"/>
      <c r="AX19" s="55"/>
      <c r="AY19" s="55"/>
    </row>
    <row r="20" ht="36" customHeight="1" spans="1:51">
      <c r="A20" s="56" t="s">
        <v>37</v>
      </c>
      <c r="B20" s="56"/>
      <c r="C20" s="57" t="s">
        <v>38</v>
      </c>
      <c r="D20" s="57"/>
      <c r="E20" s="57"/>
      <c r="F20" s="57"/>
      <c r="G20" s="57"/>
      <c r="H20" s="58" t="s">
        <v>39</v>
      </c>
      <c r="I20" s="58"/>
      <c r="J20" s="58"/>
      <c r="K20" s="58"/>
      <c r="L20" s="58"/>
      <c r="M20" s="58"/>
      <c r="N20" s="58"/>
      <c r="O20" s="58"/>
      <c r="P20" s="58"/>
      <c r="Q20" s="58"/>
      <c r="R20" s="58"/>
      <c r="S20" s="58"/>
      <c r="T20" s="58"/>
      <c r="U20" s="58"/>
      <c r="V20" s="58"/>
      <c r="W20" s="58"/>
      <c r="X20" s="58"/>
      <c r="Y20" s="58"/>
      <c r="Z20" s="58"/>
      <c r="AA20" s="58"/>
      <c r="AB20" s="58"/>
      <c r="AC20" s="58"/>
      <c r="AD20" s="59"/>
      <c r="AE20" s="60"/>
      <c r="AF20" s="60"/>
      <c r="AG20" s="60"/>
      <c r="AH20" s="60"/>
      <c r="AI20" s="60"/>
      <c r="AJ20" s="61"/>
      <c r="AL20" s="55"/>
      <c r="AM20" s="55"/>
      <c r="AN20" s="55"/>
      <c r="AO20" s="55"/>
      <c r="AP20" s="55"/>
      <c r="AQ20" s="55"/>
      <c r="AR20" s="55"/>
      <c r="AS20" s="55"/>
      <c r="AT20" s="55"/>
      <c r="AU20" s="55"/>
      <c r="AV20" s="55"/>
      <c r="AW20" s="55"/>
      <c r="AX20" s="55"/>
      <c r="AY20" s="55"/>
    </row>
    <row r="21" ht="36" customHeight="1" spans="1:51">
      <c r="A21" s="56"/>
      <c r="B21" s="56"/>
      <c r="C21" s="62" t="s">
        <v>40</v>
      </c>
      <c r="D21" s="62"/>
      <c r="E21" s="62"/>
      <c r="F21" s="62"/>
      <c r="G21" s="62"/>
      <c r="H21" s="58" t="s">
        <v>41</v>
      </c>
      <c r="I21" s="58"/>
      <c r="J21" s="58"/>
      <c r="K21" s="58"/>
      <c r="L21" s="58"/>
      <c r="M21" s="58"/>
      <c r="N21" s="58"/>
      <c r="O21" s="58"/>
      <c r="P21" s="58"/>
      <c r="Q21" s="58"/>
      <c r="R21" s="58"/>
      <c r="S21" s="58"/>
      <c r="T21" s="58"/>
      <c r="U21" s="58"/>
      <c r="V21" s="58"/>
      <c r="W21" s="58"/>
      <c r="X21" s="58"/>
      <c r="Y21" s="58"/>
      <c r="Z21" s="58"/>
      <c r="AA21" s="58"/>
      <c r="AB21" s="58"/>
      <c r="AC21" s="58"/>
      <c r="AD21" s="63"/>
      <c r="AE21" s="64"/>
      <c r="AF21" s="64"/>
      <c r="AG21" s="64"/>
      <c r="AH21" s="64"/>
      <c r="AI21" s="64"/>
      <c r="AJ21" s="65"/>
      <c r="AL21" s="55"/>
      <c r="AM21" s="55"/>
      <c r="AN21" s="55"/>
      <c r="AO21" s="55"/>
      <c r="AP21" s="55"/>
      <c r="AQ21" s="55"/>
      <c r="AR21" s="55"/>
      <c r="AS21" s="55"/>
      <c r="AT21" s="55"/>
      <c r="AU21" s="55"/>
      <c r="AV21" s="55"/>
      <c r="AW21" s="55"/>
      <c r="AX21" s="55"/>
      <c r="AY21" s="55"/>
    </row>
    <row r="22" ht="36" customHeight="1" spans="1:51">
      <c r="A22" s="56"/>
      <c r="B22" s="56"/>
      <c r="C22" s="62" t="s">
        <v>42</v>
      </c>
      <c r="D22" s="62"/>
      <c r="E22" s="62"/>
      <c r="F22" s="62"/>
      <c r="G22" s="62"/>
      <c r="H22" s="58">
        <v>380</v>
      </c>
      <c r="I22" s="58"/>
      <c r="J22" s="58"/>
      <c r="K22" s="58"/>
      <c r="L22" s="58"/>
      <c r="M22" s="58"/>
      <c r="N22" s="58"/>
      <c r="O22" s="58"/>
      <c r="P22" s="58"/>
      <c r="Q22" s="58"/>
      <c r="R22" s="58"/>
      <c r="S22" s="58"/>
      <c r="T22" s="58"/>
      <c r="U22" s="58"/>
      <c r="V22" s="58"/>
      <c r="W22" s="58"/>
      <c r="X22" s="58"/>
      <c r="Y22" s="58"/>
      <c r="Z22" s="58"/>
      <c r="AA22" s="58"/>
      <c r="AB22" s="58"/>
      <c r="AC22" s="58"/>
      <c r="AD22" s="63"/>
      <c r="AE22" s="64"/>
      <c r="AF22" s="64"/>
      <c r="AG22" s="64"/>
      <c r="AH22" s="64"/>
      <c r="AI22" s="64"/>
      <c r="AJ22" s="65"/>
      <c r="AL22" s="55"/>
      <c r="AM22" s="55"/>
      <c r="AN22" s="55"/>
      <c r="AO22" s="55"/>
      <c r="AP22" s="55"/>
      <c r="AQ22" s="55"/>
      <c r="AR22" s="55"/>
      <c r="AS22" s="55"/>
      <c r="AT22" s="55"/>
      <c r="AU22" s="55"/>
      <c r="AV22" s="55"/>
      <c r="AW22" s="55"/>
      <c r="AX22" s="55"/>
      <c r="AY22" s="55"/>
    </row>
    <row r="23" hidden="1" spans="1:51">
      <c r="A23" s="66" t="s">
        <v>43</v>
      </c>
      <c r="B23" s="67"/>
      <c r="C23" s="67"/>
      <c r="D23" s="67"/>
      <c r="E23" s="67"/>
      <c r="F23" s="67"/>
      <c r="G23" s="68"/>
      <c r="H23" s="29" t="s">
        <v>44</v>
      </c>
      <c r="I23" s="29"/>
      <c r="J23" s="29"/>
      <c r="K23" s="29"/>
      <c r="L23" s="29"/>
      <c r="M23" s="29"/>
      <c r="N23" s="29"/>
      <c r="O23" s="29"/>
      <c r="P23" s="29"/>
      <c r="Q23" s="29"/>
      <c r="R23" s="29"/>
      <c r="S23" s="29"/>
      <c r="T23" s="29"/>
      <c r="U23" s="29"/>
      <c r="V23" s="29"/>
      <c r="W23" s="29"/>
      <c r="X23" s="29"/>
      <c r="Y23" s="29"/>
      <c r="Z23" s="29"/>
      <c r="AA23" s="29"/>
      <c r="AB23" s="29"/>
      <c r="AC23" s="29"/>
      <c r="AD23" s="63"/>
      <c r="AE23" s="64"/>
      <c r="AF23" s="64"/>
      <c r="AG23" s="64"/>
      <c r="AH23" s="64"/>
      <c r="AI23" s="64"/>
      <c r="AJ23" s="65"/>
      <c r="AL23" s="55"/>
      <c r="AM23" s="55"/>
      <c r="AN23" s="55"/>
      <c r="AO23" s="55"/>
      <c r="AP23" s="55"/>
      <c r="AQ23" s="55"/>
      <c r="AR23" s="55"/>
      <c r="AS23" s="55"/>
      <c r="AT23" s="55"/>
      <c r="AU23" s="55"/>
      <c r="AV23" s="55"/>
      <c r="AW23" s="55"/>
      <c r="AX23" s="55"/>
      <c r="AY23" s="55"/>
    </row>
    <row r="24" s="21" customFormat="1" ht="36" customHeight="1" spans="1:51">
      <c r="A24" s="69" t="s">
        <v>45</v>
      </c>
      <c r="B24" s="70"/>
      <c r="C24" s="70"/>
      <c r="D24" s="70"/>
      <c r="E24" s="70"/>
      <c r="F24" s="70"/>
      <c r="G24" s="70"/>
      <c r="H24" s="70"/>
      <c r="I24" s="70"/>
      <c r="J24" s="70"/>
      <c r="K24" s="70"/>
      <c r="L24" s="70"/>
      <c r="M24" s="70"/>
      <c r="N24" s="70"/>
      <c r="O24" s="70"/>
      <c r="P24" s="70"/>
      <c r="Q24" s="70"/>
      <c r="R24" s="70"/>
      <c r="S24" s="70"/>
      <c r="T24" s="70"/>
      <c r="U24" s="70"/>
      <c r="V24" s="70"/>
      <c r="W24" s="70"/>
      <c r="X24" s="70"/>
      <c r="Y24" s="70"/>
      <c r="Z24" s="70"/>
      <c r="AA24" s="70"/>
      <c r="AB24" s="70"/>
      <c r="AC24" s="70"/>
      <c r="AD24" s="70"/>
      <c r="AE24" s="70"/>
      <c r="AF24" s="70"/>
      <c r="AG24" s="70"/>
      <c r="AH24" s="70"/>
      <c r="AI24" s="70"/>
      <c r="AJ24" s="71"/>
      <c r="AL24" s="55"/>
      <c r="AM24" s="55"/>
      <c r="AN24" s="55"/>
      <c r="AO24" s="55"/>
      <c r="AP24" s="55"/>
      <c r="AQ24" s="55"/>
      <c r="AR24" s="55"/>
      <c r="AS24" s="55"/>
      <c r="AT24" s="55"/>
      <c r="AU24" s="55"/>
      <c r="AV24" s="55"/>
      <c r="AW24" s="55"/>
      <c r="AX24" s="55"/>
      <c r="AY24" s="55"/>
    </row>
    <row r="25" ht="36" customHeight="1" spans="1:51">
      <c r="A25" s="72" t="s">
        <v>46</v>
      </c>
      <c r="B25" s="73"/>
      <c r="C25" s="73"/>
      <c r="D25" s="73"/>
      <c r="E25" s="73"/>
      <c r="F25" s="73"/>
      <c r="G25" s="74"/>
      <c r="H25" s="29" t="s">
        <v>47</v>
      </c>
      <c r="I25" s="29"/>
      <c r="J25" s="29"/>
      <c r="K25" s="29"/>
      <c r="L25" s="29"/>
      <c r="M25" s="29"/>
      <c r="N25" s="29"/>
      <c r="O25" s="29"/>
      <c r="P25" s="29"/>
      <c r="Q25" s="29"/>
      <c r="R25" s="29"/>
      <c r="S25" s="29"/>
      <c r="T25" s="29"/>
      <c r="U25" s="29"/>
      <c r="V25" s="29"/>
      <c r="W25" s="29"/>
      <c r="X25" s="29"/>
      <c r="Y25" s="29"/>
      <c r="Z25" s="29"/>
      <c r="AA25" s="29"/>
      <c r="AB25" s="29"/>
      <c r="AC25" s="29"/>
      <c r="AD25" s="59"/>
      <c r="AE25" s="60"/>
      <c r="AF25" s="60"/>
      <c r="AG25" s="60"/>
      <c r="AH25" s="60"/>
      <c r="AI25" s="60"/>
      <c r="AJ25" s="61"/>
      <c r="AL25" s="55"/>
      <c r="AM25" s="55"/>
      <c r="AN25" s="55"/>
      <c r="AO25" s="55"/>
      <c r="AP25" s="55"/>
      <c r="AQ25" s="55"/>
      <c r="AR25" s="55"/>
      <c r="AS25" s="55"/>
      <c r="AT25" s="55"/>
      <c r="AU25" s="55"/>
      <c r="AV25" s="55"/>
      <c r="AW25" s="55"/>
      <c r="AX25" s="55"/>
      <c r="AY25" s="55"/>
    </row>
    <row r="26" ht="36" hidden="1" customHeight="1" spans="1:51">
      <c r="A26" s="75"/>
      <c r="B26" s="76"/>
      <c r="C26" s="76"/>
      <c r="D26" s="76"/>
      <c r="E26" s="76"/>
      <c r="F26" s="76"/>
      <c r="G26" s="77"/>
      <c r="H26" s="29"/>
      <c r="I26" s="29"/>
      <c r="J26" s="29"/>
      <c r="K26" s="29"/>
      <c r="L26" s="29"/>
      <c r="M26" s="29"/>
      <c r="N26" s="29"/>
      <c r="O26" s="29"/>
      <c r="P26" s="29"/>
      <c r="Q26" s="29"/>
      <c r="R26" s="29"/>
      <c r="S26" s="29"/>
      <c r="T26" s="29"/>
      <c r="U26" s="29"/>
      <c r="V26" s="29"/>
      <c r="W26" s="29"/>
      <c r="X26" s="29"/>
      <c r="Y26" s="29"/>
      <c r="Z26" s="29"/>
      <c r="AA26" s="29"/>
      <c r="AB26" s="29"/>
      <c r="AC26" s="29"/>
      <c r="AD26" s="63"/>
      <c r="AE26" s="64"/>
      <c r="AF26" s="64"/>
      <c r="AG26" s="64"/>
      <c r="AH26" s="64"/>
      <c r="AI26" s="64"/>
      <c r="AJ26" s="65"/>
      <c r="AL26" s="55"/>
      <c r="AM26" s="55"/>
      <c r="AN26" s="55"/>
      <c r="AO26" s="55"/>
      <c r="AP26" s="55"/>
      <c r="AQ26" s="55"/>
      <c r="AR26" s="55"/>
      <c r="AS26" s="55"/>
      <c r="AT26" s="55"/>
      <c r="AU26" s="55"/>
      <c r="AV26" s="55"/>
      <c r="AW26" s="55"/>
      <c r="AX26" s="55"/>
      <c r="AY26" s="55"/>
    </row>
    <row r="27" ht="36" customHeight="1" spans="1:51">
      <c r="A27" s="78" t="s">
        <v>48</v>
      </c>
      <c r="B27" s="79"/>
      <c r="C27" s="79"/>
      <c r="D27" s="79"/>
      <c r="E27" s="79"/>
      <c r="F27" s="79"/>
      <c r="G27" s="80"/>
      <c r="H27" s="29" t="s">
        <v>49</v>
      </c>
      <c r="I27" s="29"/>
      <c r="J27" s="29"/>
      <c r="K27" s="29"/>
      <c r="L27" s="29"/>
      <c r="M27" s="29"/>
      <c r="N27" s="29"/>
      <c r="O27" s="29"/>
      <c r="P27" s="29"/>
      <c r="Q27" s="29"/>
      <c r="R27" s="29"/>
      <c r="S27" s="29"/>
      <c r="T27" s="29"/>
      <c r="U27" s="29"/>
      <c r="V27" s="29"/>
      <c r="W27" s="29"/>
      <c r="X27" s="29"/>
      <c r="Y27" s="29"/>
      <c r="Z27" s="29"/>
      <c r="AA27" s="29"/>
      <c r="AB27" s="29"/>
      <c r="AC27" s="29"/>
      <c r="AD27" s="63"/>
      <c r="AE27" s="64"/>
      <c r="AF27" s="64"/>
      <c r="AG27" s="64"/>
      <c r="AH27" s="64"/>
      <c r="AI27" s="64"/>
      <c r="AJ27" s="65"/>
      <c r="AL27" s="55"/>
      <c r="AM27" s="55"/>
      <c r="AN27" s="55"/>
      <c r="AO27" s="55"/>
      <c r="AP27" s="55"/>
      <c r="AQ27" s="55"/>
      <c r="AR27" s="55"/>
      <c r="AS27" s="55"/>
      <c r="AT27" s="55"/>
      <c r="AU27" s="55"/>
      <c r="AV27" s="55"/>
      <c r="AW27" s="55"/>
      <c r="AX27" s="55"/>
      <c r="AY27" s="55"/>
    </row>
    <row r="28" ht="18" hidden="1" customHeight="1" spans="1:51">
      <c r="A28" s="78" t="s">
        <v>50</v>
      </c>
      <c r="B28" s="79"/>
      <c r="C28" s="79"/>
      <c r="D28" s="79"/>
      <c r="E28" s="79"/>
      <c r="F28" s="79"/>
      <c r="G28" s="80"/>
      <c r="H28" s="29"/>
      <c r="I28" s="29"/>
      <c r="J28" s="29"/>
      <c r="K28" s="29"/>
      <c r="L28" s="29"/>
      <c r="M28" s="29"/>
      <c r="N28" s="29"/>
      <c r="O28" s="29"/>
      <c r="P28" s="29"/>
      <c r="Q28" s="29"/>
      <c r="R28" s="29"/>
      <c r="S28" s="29"/>
      <c r="T28" s="29"/>
      <c r="U28" s="29"/>
      <c r="V28" s="29"/>
      <c r="W28" s="29"/>
      <c r="X28" s="29"/>
      <c r="Y28" s="29"/>
      <c r="Z28" s="29"/>
      <c r="AA28" s="29"/>
      <c r="AB28" s="29"/>
      <c r="AC28" s="29"/>
      <c r="AD28" s="63"/>
      <c r="AE28" s="64"/>
      <c r="AF28" s="64"/>
      <c r="AG28" s="64"/>
      <c r="AH28" s="64"/>
      <c r="AI28" s="64"/>
      <c r="AJ28" s="65"/>
      <c r="AN28" s="81"/>
      <c r="AO28" s="81"/>
      <c r="AP28" s="81"/>
      <c r="AQ28" s="81"/>
      <c r="AR28" s="81"/>
      <c r="AS28" s="81"/>
      <c r="AT28" s="81"/>
      <c r="AU28" s="81"/>
      <c r="AV28" s="81"/>
      <c r="AW28" s="81"/>
    </row>
    <row r="29" ht="36" customHeight="1" spans="1:51">
      <c r="A29" s="82" t="s">
        <v>51</v>
      </c>
      <c r="B29" s="67"/>
      <c r="C29" s="67"/>
      <c r="D29" s="67"/>
      <c r="E29" s="67"/>
      <c r="F29" s="67"/>
      <c r="G29" s="68"/>
      <c r="H29" s="30" t="s">
        <v>52</v>
      </c>
      <c r="I29" s="30"/>
      <c r="J29" s="30"/>
      <c r="K29" s="30"/>
      <c r="L29" s="30"/>
      <c r="M29" s="30"/>
      <c r="N29" s="30"/>
      <c r="O29" s="30"/>
      <c r="P29" s="30"/>
      <c r="Q29" s="30"/>
      <c r="R29" s="30"/>
      <c r="S29" s="30"/>
      <c r="T29" s="30"/>
      <c r="U29" s="30"/>
      <c r="V29" s="30"/>
      <c r="W29" s="30"/>
      <c r="X29" s="30"/>
      <c r="Y29" s="30"/>
      <c r="Z29" s="30"/>
      <c r="AA29" s="30"/>
      <c r="AB29" s="30"/>
      <c r="AC29" s="30"/>
      <c r="AD29" s="63"/>
      <c r="AE29" s="64"/>
      <c r="AF29" s="64"/>
      <c r="AG29" s="64"/>
      <c r="AH29" s="64"/>
      <c r="AI29" s="64"/>
      <c r="AJ29" s="65"/>
    </row>
    <row r="30" ht="36" hidden="1" customHeight="1" spans="1:51">
      <c r="A30" s="82" t="s">
        <v>43</v>
      </c>
      <c r="B30" s="67"/>
      <c r="C30" s="67"/>
      <c r="D30" s="67"/>
      <c r="E30" s="67"/>
      <c r="F30" s="67"/>
      <c r="G30" s="68"/>
      <c r="H30" s="29" t="s">
        <v>44</v>
      </c>
      <c r="I30" s="29"/>
      <c r="J30" s="29"/>
      <c r="K30" s="29"/>
      <c r="L30" s="29"/>
      <c r="M30" s="29"/>
      <c r="N30" s="29"/>
      <c r="O30" s="29"/>
      <c r="P30" s="29"/>
      <c r="Q30" s="29"/>
      <c r="R30" s="29"/>
      <c r="S30" s="29"/>
      <c r="T30" s="29"/>
      <c r="U30" s="29"/>
      <c r="V30" s="29"/>
      <c r="W30" s="29"/>
      <c r="X30" s="29"/>
      <c r="Y30" s="29"/>
      <c r="Z30" s="29"/>
      <c r="AA30" s="29"/>
      <c r="AB30" s="29"/>
      <c r="AC30" s="29"/>
      <c r="AD30" s="63"/>
      <c r="AE30" s="64"/>
      <c r="AF30" s="64"/>
      <c r="AG30" s="64"/>
      <c r="AH30" s="64"/>
      <c r="AI30" s="64"/>
      <c r="AJ30" s="65"/>
    </row>
    <row r="31" ht="36" customHeight="1" spans="1:51">
      <c r="A31" s="83" t="s">
        <v>53</v>
      </c>
      <c r="B31" s="84"/>
      <c r="C31" s="84"/>
      <c r="D31" s="84"/>
      <c r="E31" s="84"/>
      <c r="F31" s="84"/>
      <c r="G31" s="85"/>
      <c r="H31" s="29" t="s">
        <v>54</v>
      </c>
      <c r="I31" s="29"/>
      <c r="J31" s="29"/>
      <c r="K31" s="29"/>
      <c r="L31" s="29"/>
      <c r="M31" s="29"/>
      <c r="N31" s="29"/>
      <c r="O31" s="29"/>
      <c r="P31" s="29"/>
      <c r="Q31" s="29"/>
      <c r="R31" s="29"/>
      <c r="S31" s="29"/>
      <c r="T31" s="29"/>
      <c r="U31" s="29"/>
      <c r="V31" s="29"/>
      <c r="W31" s="29"/>
      <c r="X31" s="29"/>
      <c r="Y31" s="29"/>
      <c r="Z31" s="29"/>
      <c r="AA31" s="29"/>
      <c r="AB31" s="29"/>
      <c r="AC31" s="29"/>
      <c r="AD31" s="63"/>
      <c r="AE31" s="64"/>
      <c r="AF31" s="64"/>
      <c r="AG31" s="64"/>
      <c r="AH31" s="64"/>
      <c r="AI31" s="64"/>
      <c r="AJ31" s="65"/>
      <c r="AN31" s="81"/>
      <c r="AO31" s="81"/>
      <c r="AP31" s="81"/>
      <c r="AQ31" s="81"/>
      <c r="AR31" s="81"/>
      <c r="AS31" s="81"/>
      <c r="AT31" s="81"/>
      <c r="AU31" s="81"/>
      <c r="AV31" s="81"/>
      <c r="AW31" s="81"/>
    </row>
    <row r="32" ht="36" customHeight="1" spans="1:51">
      <c r="A32" s="82" t="s">
        <v>55</v>
      </c>
      <c r="B32" s="67"/>
      <c r="C32" s="67"/>
      <c r="D32" s="67"/>
      <c r="E32" s="67"/>
      <c r="F32" s="67"/>
      <c r="G32" s="68"/>
      <c r="H32" s="29" t="s">
        <v>56</v>
      </c>
      <c r="I32" s="29"/>
      <c r="J32" s="29"/>
      <c r="K32" s="29"/>
      <c r="L32" s="29"/>
      <c r="M32" s="29"/>
      <c r="N32" s="29"/>
      <c r="O32" s="29"/>
      <c r="P32" s="29"/>
      <c r="Q32" s="29"/>
      <c r="R32" s="29"/>
      <c r="S32" s="29"/>
      <c r="T32" s="29"/>
      <c r="U32" s="29"/>
      <c r="V32" s="29"/>
      <c r="W32" s="29"/>
      <c r="X32" s="29"/>
      <c r="Y32" s="29"/>
      <c r="Z32" s="29"/>
      <c r="AA32" s="29"/>
      <c r="AB32" s="29"/>
      <c r="AC32" s="29"/>
      <c r="AD32" s="86"/>
      <c r="AE32" s="87"/>
      <c r="AF32" s="87"/>
      <c r="AG32" s="87"/>
      <c r="AH32" s="87"/>
      <c r="AI32" s="87"/>
      <c r="AJ32" s="88"/>
    </row>
    <row r="33" ht="36" customHeight="1" spans="1:37">
      <c r="A33" s="52" t="s">
        <v>57</v>
      </c>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4"/>
    </row>
    <row r="34" s="21" customFormat="1" ht="36" customHeight="1" spans="1:37">
      <c r="A34" s="72" t="s">
        <v>46</v>
      </c>
      <c r="B34" s="73"/>
      <c r="C34" s="73"/>
      <c r="D34" s="73"/>
      <c r="E34" s="73"/>
      <c r="F34" s="73"/>
      <c r="G34" s="74"/>
      <c r="H34" s="89" t="s">
        <v>47</v>
      </c>
      <c r="I34" s="89"/>
      <c r="J34" s="89"/>
      <c r="K34" s="89"/>
      <c r="L34" s="89"/>
      <c r="M34" s="89"/>
      <c r="N34" s="89"/>
      <c r="O34" s="89"/>
      <c r="P34" s="89"/>
      <c r="Q34" s="89"/>
      <c r="R34" s="89"/>
      <c r="S34" s="89"/>
      <c r="T34" s="89"/>
      <c r="U34" s="89"/>
      <c r="V34" s="89"/>
      <c r="W34" s="89"/>
      <c r="X34" s="89"/>
      <c r="Y34" s="89"/>
      <c r="Z34" s="89"/>
      <c r="AA34" s="89"/>
      <c r="AB34" s="89"/>
      <c r="AC34" s="89"/>
      <c r="AD34" s="59"/>
      <c r="AE34" s="60"/>
      <c r="AF34" s="60"/>
      <c r="AG34" s="60"/>
      <c r="AH34" s="60"/>
      <c r="AI34" s="60"/>
      <c r="AJ34" s="61"/>
      <c r="AK34" s="22"/>
    </row>
    <row r="35" s="21" customFormat="1" ht="36" hidden="1" customHeight="1" spans="1:37">
      <c r="A35" s="75"/>
      <c r="B35" s="76"/>
      <c r="C35" s="76"/>
      <c r="D35" s="76"/>
      <c r="E35" s="76"/>
      <c r="F35" s="76"/>
      <c r="G35" s="77"/>
      <c r="H35" s="89"/>
      <c r="I35" s="89"/>
      <c r="J35" s="89"/>
      <c r="K35" s="89"/>
      <c r="L35" s="89"/>
      <c r="M35" s="89"/>
      <c r="N35" s="89"/>
      <c r="O35" s="89"/>
      <c r="P35" s="89"/>
      <c r="Q35" s="89"/>
      <c r="R35" s="89"/>
      <c r="S35" s="89"/>
      <c r="T35" s="89"/>
      <c r="U35" s="89"/>
      <c r="V35" s="89"/>
      <c r="W35" s="89"/>
      <c r="X35" s="89"/>
      <c r="Y35" s="89"/>
      <c r="Z35" s="89"/>
      <c r="AA35" s="89"/>
      <c r="AB35" s="89"/>
      <c r="AC35" s="89"/>
      <c r="AD35" s="63"/>
      <c r="AE35" s="64"/>
      <c r="AF35" s="64"/>
      <c r="AG35" s="64"/>
      <c r="AH35" s="64"/>
      <c r="AI35" s="64"/>
      <c r="AJ35" s="65"/>
      <c r="AK35" s="22"/>
    </row>
    <row r="36" ht="36" customHeight="1" spans="1:37">
      <c r="A36" s="78" t="s">
        <v>58</v>
      </c>
      <c r="B36" s="79"/>
      <c r="C36" s="79"/>
      <c r="D36" s="79"/>
      <c r="E36" s="79"/>
      <c r="F36" s="79"/>
      <c r="G36" s="80"/>
      <c r="H36" s="29" t="s">
        <v>49</v>
      </c>
      <c r="I36" s="29"/>
      <c r="J36" s="29"/>
      <c r="K36" s="29"/>
      <c r="L36" s="29"/>
      <c r="M36" s="29"/>
      <c r="N36" s="29"/>
      <c r="O36" s="29"/>
      <c r="P36" s="29"/>
      <c r="Q36" s="29"/>
      <c r="R36" s="29"/>
      <c r="S36" s="29"/>
      <c r="T36" s="29"/>
      <c r="U36" s="29"/>
      <c r="V36" s="29"/>
      <c r="W36" s="29"/>
      <c r="X36" s="29"/>
      <c r="Y36" s="29"/>
      <c r="Z36" s="29"/>
      <c r="AA36" s="29"/>
      <c r="AB36" s="29"/>
      <c r="AC36" s="29"/>
      <c r="AD36" s="63"/>
      <c r="AE36" s="64"/>
      <c r="AF36" s="64"/>
      <c r="AG36" s="64"/>
      <c r="AH36" s="64"/>
      <c r="AI36" s="64"/>
      <c r="AJ36" s="65"/>
    </row>
    <row r="37" ht="18" hidden="1" customHeight="1" spans="1:37">
      <c r="A37" s="78" t="s">
        <v>59</v>
      </c>
      <c r="B37" s="79"/>
      <c r="C37" s="79"/>
      <c r="D37" s="79"/>
      <c r="E37" s="79"/>
      <c r="F37" s="79"/>
      <c r="G37" s="80"/>
      <c r="H37" s="29" t="s">
        <v>60</v>
      </c>
      <c r="I37" s="29"/>
      <c r="J37" s="29"/>
      <c r="K37" s="29"/>
      <c r="L37" s="29"/>
      <c r="M37" s="29"/>
      <c r="N37" s="29"/>
      <c r="O37" s="29"/>
      <c r="P37" s="29"/>
      <c r="Q37" s="29"/>
      <c r="R37" s="29"/>
      <c r="S37" s="29"/>
      <c r="T37" s="29"/>
      <c r="U37" s="29"/>
      <c r="V37" s="29"/>
      <c r="W37" s="29"/>
      <c r="X37" s="29"/>
      <c r="Y37" s="29"/>
      <c r="Z37" s="29"/>
      <c r="AA37" s="29"/>
      <c r="AB37" s="29"/>
      <c r="AC37" s="29"/>
      <c r="AD37" s="63"/>
      <c r="AE37" s="64"/>
      <c r="AF37" s="64"/>
      <c r="AG37" s="64"/>
      <c r="AH37" s="64"/>
      <c r="AI37" s="64"/>
      <c r="AJ37" s="65"/>
    </row>
    <row r="38" ht="36" customHeight="1" spans="1:37">
      <c r="A38" s="82" t="s">
        <v>61</v>
      </c>
      <c r="B38" s="67"/>
      <c r="C38" s="67"/>
      <c r="D38" s="67"/>
      <c r="E38" s="67"/>
      <c r="F38" s="67"/>
      <c r="G38" s="68"/>
      <c r="H38" s="29" t="s">
        <v>62</v>
      </c>
      <c r="I38" s="29"/>
      <c r="J38" s="29"/>
      <c r="K38" s="29"/>
      <c r="L38" s="29"/>
      <c r="M38" s="29"/>
      <c r="N38" s="29"/>
      <c r="O38" s="29"/>
      <c r="P38" s="29"/>
      <c r="Q38" s="29"/>
      <c r="R38" s="29"/>
      <c r="S38" s="29"/>
      <c r="T38" s="29"/>
      <c r="U38" s="29"/>
      <c r="V38" s="29"/>
      <c r="W38" s="29"/>
      <c r="X38" s="29"/>
      <c r="Y38" s="29"/>
      <c r="Z38" s="29"/>
      <c r="AA38" s="29"/>
      <c r="AB38" s="29"/>
      <c r="AC38" s="29"/>
      <c r="AD38" s="86"/>
      <c r="AE38" s="87"/>
      <c r="AF38" s="87"/>
      <c r="AG38" s="87"/>
      <c r="AH38" s="87"/>
      <c r="AI38" s="87"/>
      <c r="AJ38" s="88"/>
    </row>
    <row r="39" ht="36" customHeight="1" spans="1:37">
      <c r="A39" s="52" t="s">
        <v>63</v>
      </c>
      <c r="B39" s="53"/>
      <c r="C39" s="53"/>
      <c r="D39" s="53"/>
      <c r="E39" s="53"/>
      <c r="F39" s="53"/>
      <c r="G39" s="53"/>
      <c r="H39" s="53"/>
      <c r="I39" s="53"/>
      <c r="J39" s="53"/>
      <c r="K39" s="53"/>
      <c r="L39" s="53"/>
      <c r="M39" s="53"/>
      <c r="N39" s="53"/>
      <c r="O39" s="53"/>
      <c r="P39" s="53"/>
      <c r="Q39" s="53"/>
      <c r="R39" s="53"/>
      <c r="S39" s="53"/>
      <c r="T39" s="53"/>
      <c r="U39" s="53"/>
      <c r="V39" s="53"/>
      <c r="W39" s="53"/>
      <c r="X39" s="53"/>
      <c r="Y39" s="53"/>
      <c r="Z39" s="53"/>
      <c r="AA39" s="53"/>
      <c r="AB39" s="53"/>
      <c r="AC39" s="53"/>
      <c r="AD39" s="53"/>
      <c r="AE39" s="53"/>
      <c r="AF39" s="53"/>
      <c r="AG39" s="53"/>
      <c r="AH39" s="53"/>
      <c r="AI39" s="53"/>
      <c r="AJ39" s="54"/>
    </row>
    <row r="40" ht="36" customHeight="1" spans="1:37">
      <c r="A40" s="82" t="s">
        <v>64</v>
      </c>
      <c r="B40" s="67"/>
      <c r="C40" s="67"/>
      <c r="D40" s="67"/>
      <c r="E40" s="67"/>
      <c r="F40" s="67"/>
      <c r="G40" s="68"/>
      <c r="H40" s="30" t="s">
        <v>65</v>
      </c>
      <c r="I40" s="30"/>
      <c r="J40" s="30"/>
      <c r="K40" s="30"/>
      <c r="L40" s="30"/>
      <c r="M40" s="30"/>
      <c r="N40" s="30"/>
      <c r="O40" s="30"/>
      <c r="P40" s="30"/>
      <c r="Q40" s="30"/>
      <c r="R40" s="30"/>
      <c r="S40" s="30"/>
      <c r="T40" s="30"/>
      <c r="U40" s="30"/>
      <c r="V40" s="30"/>
      <c r="W40" s="30"/>
      <c r="X40" s="30"/>
      <c r="Y40" s="30"/>
      <c r="Z40" s="30"/>
      <c r="AA40" s="30"/>
      <c r="AB40" s="30"/>
      <c r="AC40" s="30"/>
      <c r="AD40" s="59"/>
      <c r="AE40" s="60"/>
      <c r="AF40" s="60"/>
      <c r="AG40" s="60"/>
      <c r="AH40" s="60"/>
      <c r="AI40" s="60"/>
      <c r="AJ40" s="61"/>
    </row>
    <row r="41" ht="43" customHeight="1" spans="1:37">
      <c r="A41" s="56" t="s">
        <v>66</v>
      </c>
      <c r="B41" s="56"/>
      <c r="C41" s="56" t="s">
        <v>67</v>
      </c>
      <c r="D41" s="56"/>
      <c r="E41" s="56"/>
      <c r="F41" s="56"/>
      <c r="G41" s="56"/>
      <c r="H41" s="89" t="s">
        <v>56</v>
      </c>
      <c r="I41" s="89"/>
      <c r="J41" s="89"/>
      <c r="K41" s="89"/>
      <c r="L41" s="89"/>
      <c r="M41" s="89"/>
      <c r="N41" s="89"/>
      <c r="O41" s="89"/>
      <c r="P41" s="89"/>
      <c r="Q41" s="89"/>
      <c r="R41" s="89"/>
      <c r="S41" s="89"/>
      <c r="T41" s="89"/>
      <c r="U41" s="89"/>
      <c r="V41" s="89"/>
      <c r="W41" s="89"/>
      <c r="X41" s="89"/>
      <c r="Y41" s="89"/>
      <c r="Z41" s="89"/>
      <c r="AA41" s="89"/>
      <c r="AB41" s="89"/>
      <c r="AC41" s="89"/>
      <c r="AD41" s="63"/>
      <c r="AE41" s="64"/>
      <c r="AF41" s="64"/>
      <c r="AG41" s="64"/>
      <c r="AH41" s="64"/>
      <c r="AI41" s="64"/>
      <c r="AJ41" s="65"/>
    </row>
    <row r="42" ht="41.5" customHeight="1" spans="1:37">
      <c r="A42" s="56"/>
      <c r="B42" s="56"/>
      <c r="C42" s="56" t="s">
        <v>68</v>
      </c>
      <c r="D42" s="56"/>
      <c r="E42" s="56"/>
      <c r="F42" s="56"/>
      <c r="G42" s="56"/>
      <c r="H42" s="29" t="s">
        <v>56</v>
      </c>
      <c r="I42" s="29"/>
      <c r="J42" s="29"/>
      <c r="K42" s="29"/>
      <c r="L42" s="29"/>
      <c r="M42" s="29"/>
      <c r="N42" s="29"/>
      <c r="O42" s="29"/>
      <c r="P42" s="29"/>
      <c r="Q42" s="29"/>
      <c r="R42" s="29"/>
      <c r="S42" s="29"/>
      <c r="T42" s="29"/>
      <c r="U42" s="29"/>
      <c r="V42" s="29"/>
      <c r="W42" s="29"/>
      <c r="X42" s="29"/>
      <c r="Y42" s="29"/>
      <c r="Z42" s="29"/>
      <c r="AA42" s="29"/>
      <c r="AB42" s="29"/>
      <c r="AC42" s="29"/>
      <c r="AD42" s="63"/>
      <c r="AE42" s="64"/>
      <c r="AF42" s="64"/>
      <c r="AG42" s="64"/>
      <c r="AH42" s="64"/>
      <c r="AI42" s="64"/>
      <c r="AJ42" s="65"/>
    </row>
    <row r="43" ht="42" customHeight="1" spans="1:37">
      <c r="A43" s="56"/>
      <c r="B43" s="56"/>
      <c r="C43" s="56" t="s">
        <v>69</v>
      </c>
      <c r="D43" s="56"/>
      <c r="E43" s="56"/>
      <c r="F43" s="56"/>
      <c r="G43" s="56"/>
      <c r="H43" s="29" t="s">
        <v>56</v>
      </c>
      <c r="I43" s="29"/>
      <c r="J43" s="29"/>
      <c r="K43" s="29"/>
      <c r="L43" s="29"/>
      <c r="M43" s="29"/>
      <c r="N43" s="29"/>
      <c r="O43" s="29"/>
      <c r="P43" s="29"/>
      <c r="Q43" s="29"/>
      <c r="R43" s="29"/>
      <c r="S43" s="29"/>
      <c r="T43" s="29"/>
      <c r="U43" s="29"/>
      <c r="V43" s="29"/>
      <c r="W43" s="29"/>
      <c r="X43" s="29"/>
      <c r="Y43" s="29"/>
      <c r="Z43" s="29"/>
      <c r="AA43" s="29"/>
      <c r="AB43" s="29"/>
      <c r="AC43" s="29"/>
      <c r="AD43" s="63"/>
      <c r="AE43" s="64"/>
      <c r="AF43" s="64"/>
      <c r="AG43" s="64"/>
      <c r="AH43" s="64"/>
      <c r="AI43" s="64"/>
      <c r="AJ43" s="65"/>
    </row>
    <row r="44" ht="42.55" customHeight="1" spans="1:37">
      <c r="A44" s="56"/>
      <c r="B44" s="56"/>
      <c r="C44" s="56" t="s">
        <v>70</v>
      </c>
      <c r="D44" s="56"/>
      <c r="E44" s="56"/>
      <c r="F44" s="56"/>
      <c r="G44" s="56"/>
      <c r="H44" s="29" t="s">
        <v>56</v>
      </c>
      <c r="I44" s="29"/>
      <c r="J44" s="29"/>
      <c r="K44" s="29"/>
      <c r="L44" s="29"/>
      <c r="M44" s="29"/>
      <c r="N44" s="29"/>
      <c r="O44" s="29"/>
      <c r="P44" s="29"/>
      <c r="Q44" s="29"/>
      <c r="R44" s="29"/>
      <c r="S44" s="29"/>
      <c r="T44" s="29"/>
      <c r="U44" s="29"/>
      <c r="V44" s="29"/>
      <c r="W44" s="29"/>
      <c r="X44" s="29"/>
      <c r="Y44" s="29"/>
      <c r="Z44" s="29"/>
      <c r="AA44" s="29"/>
      <c r="AB44" s="29"/>
      <c r="AC44" s="29"/>
      <c r="AD44" s="63"/>
      <c r="AE44" s="64"/>
      <c r="AF44" s="64"/>
      <c r="AG44" s="64"/>
      <c r="AH44" s="64"/>
      <c r="AI44" s="64"/>
      <c r="AJ44" s="65"/>
    </row>
    <row r="45" ht="45" customHeight="1" spans="1:37">
      <c r="A45" s="56"/>
      <c r="B45" s="56"/>
      <c r="C45" s="56" t="s">
        <v>71</v>
      </c>
      <c r="D45" s="56"/>
      <c r="E45" s="56"/>
      <c r="F45" s="56"/>
      <c r="G45" s="56"/>
      <c r="H45" s="29" t="s">
        <v>72</v>
      </c>
      <c r="I45" s="29"/>
      <c r="J45" s="29"/>
      <c r="K45" s="29"/>
      <c r="L45" s="29"/>
      <c r="M45" s="29"/>
      <c r="N45" s="29"/>
      <c r="O45" s="29"/>
      <c r="P45" s="29"/>
      <c r="Q45" s="29"/>
      <c r="R45" s="29"/>
      <c r="S45" s="29"/>
      <c r="T45" s="29"/>
      <c r="U45" s="29"/>
      <c r="V45" s="29"/>
      <c r="W45" s="29"/>
      <c r="X45" s="29"/>
      <c r="Y45" s="29"/>
      <c r="Z45" s="29"/>
      <c r="AA45" s="29"/>
      <c r="AB45" s="29"/>
      <c r="AC45" s="29"/>
      <c r="AD45" s="63"/>
      <c r="AE45" s="64"/>
      <c r="AF45" s="64"/>
      <c r="AG45" s="64"/>
      <c r="AH45" s="64"/>
      <c r="AI45" s="64"/>
      <c r="AJ45" s="65"/>
    </row>
    <row r="46" ht="42" hidden="1" customHeight="1" spans="1:37">
      <c r="A46" s="56"/>
      <c r="B46" s="56"/>
      <c r="C46" s="90" t="s">
        <v>73</v>
      </c>
      <c r="D46" s="56"/>
      <c r="E46" s="56"/>
      <c r="F46" s="56"/>
      <c r="G46" s="56"/>
      <c r="H46" s="29" t="s">
        <v>44</v>
      </c>
      <c r="I46" s="29"/>
      <c r="J46" s="29"/>
      <c r="K46" s="29"/>
      <c r="L46" s="29"/>
      <c r="M46" s="29"/>
      <c r="N46" s="29"/>
      <c r="O46" s="29"/>
      <c r="P46" s="29"/>
      <c r="Q46" s="29"/>
      <c r="R46" s="29"/>
      <c r="S46" s="29"/>
      <c r="T46" s="29"/>
      <c r="U46" s="29"/>
      <c r="V46" s="29"/>
      <c r="W46" s="29"/>
      <c r="X46" s="29"/>
      <c r="Y46" s="29"/>
      <c r="Z46" s="29"/>
      <c r="AA46" s="29"/>
      <c r="AB46" s="29"/>
      <c r="AC46" s="29"/>
      <c r="AD46" s="63"/>
      <c r="AE46" s="64"/>
      <c r="AF46" s="64"/>
      <c r="AG46" s="64"/>
      <c r="AH46" s="64"/>
      <c r="AI46" s="64"/>
      <c r="AJ46" s="65"/>
    </row>
    <row r="47" ht="36" customHeight="1" spans="1:37">
      <c r="A47" s="82" t="s">
        <v>74</v>
      </c>
      <c r="B47" s="67"/>
      <c r="C47" s="67"/>
      <c r="D47" s="67"/>
      <c r="E47" s="67"/>
      <c r="F47" s="67"/>
      <c r="G47" s="68"/>
      <c r="H47" s="29" t="s">
        <v>49</v>
      </c>
      <c r="I47" s="29"/>
      <c r="J47" s="29"/>
      <c r="K47" s="29"/>
      <c r="L47" s="29"/>
      <c r="M47" s="29"/>
      <c r="N47" s="29"/>
      <c r="O47" s="29"/>
      <c r="P47" s="29"/>
      <c r="Q47" s="29"/>
      <c r="R47" s="29"/>
      <c r="S47" s="29"/>
      <c r="T47" s="29"/>
      <c r="U47" s="29"/>
      <c r="V47" s="29"/>
      <c r="W47" s="29"/>
      <c r="X47" s="29"/>
      <c r="Y47" s="29"/>
      <c r="Z47" s="29"/>
      <c r="AA47" s="29"/>
      <c r="AB47" s="29"/>
      <c r="AC47" s="29"/>
      <c r="AD47" s="63"/>
      <c r="AE47" s="64"/>
      <c r="AF47" s="64"/>
      <c r="AG47" s="64"/>
      <c r="AH47" s="64"/>
      <c r="AI47" s="64"/>
      <c r="AJ47" s="65"/>
    </row>
    <row r="48" ht="18" hidden="1" customHeight="1" spans="1:37">
      <c r="A48" s="78" t="s">
        <v>75</v>
      </c>
      <c r="B48" s="79"/>
      <c r="C48" s="79"/>
      <c r="D48" s="79"/>
      <c r="E48" s="79"/>
      <c r="F48" s="79"/>
      <c r="G48" s="80"/>
      <c r="H48" s="91"/>
      <c r="I48" s="92"/>
      <c r="J48" s="92"/>
      <c r="K48" s="92"/>
      <c r="L48" s="92"/>
      <c r="M48" s="92"/>
      <c r="N48" s="92"/>
      <c r="O48" s="92"/>
      <c r="P48" s="92"/>
      <c r="Q48" s="92"/>
      <c r="R48" s="92"/>
      <c r="S48" s="92"/>
      <c r="T48" s="92"/>
      <c r="U48" s="92"/>
      <c r="V48" s="92"/>
      <c r="W48" s="92"/>
      <c r="X48" s="92"/>
      <c r="Y48" s="92"/>
      <c r="Z48" s="92"/>
      <c r="AA48" s="92"/>
      <c r="AB48" s="92"/>
      <c r="AC48" s="93"/>
      <c r="AD48" s="86"/>
      <c r="AE48" s="87"/>
      <c r="AF48" s="87"/>
      <c r="AG48" s="87"/>
      <c r="AH48" s="87"/>
      <c r="AI48" s="87"/>
      <c r="AJ48" s="88"/>
    </row>
    <row r="49" ht="36" customHeight="1" spans="1:62">
      <c r="A49" s="52" t="s">
        <v>76</v>
      </c>
      <c r="B49" s="53"/>
      <c r="C49" s="53"/>
      <c r="D49" s="53"/>
      <c r="E49" s="53"/>
      <c r="F49" s="53"/>
      <c r="G49" s="53"/>
      <c r="H49" s="53"/>
      <c r="I49" s="53"/>
      <c r="J49" s="53"/>
      <c r="K49" s="53"/>
      <c r="L49" s="53"/>
      <c r="M49" s="53"/>
      <c r="N49" s="53"/>
      <c r="O49" s="53"/>
      <c r="P49" s="53"/>
      <c r="Q49" s="53"/>
      <c r="R49" s="53"/>
      <c r="S49" s="53"/>
      <c r="T49" s="53"/>
      <c r="U49" s="53"/>
      <c r="V49" s="53"/>
      <c r="W49" s="53"/>
      <c r="X49" s="53"/>
      <c r="Y49" s="53"/>
      <c r="Z49" s="53"/>
      <c r="AA49" s="53"/>
      <c r="AB49" s="53"/>
      <c r="AC49" s="53"/>
      <c r="AD49" s="53"/>
      <c r="AE49" s="53"/>
      <c r="AF49" s="53"/>
      <c r="AG49" s="53"/>
      <c r="AH49" s="53"/>
      <c r="AI49" s="53"/>
      <c r="AJ49" s="54"/>
    </row>
    <row r="50" ht="20.05" customHeight="1" spans="1:62">
      <c r="A50" s="56" t="s">
        <v>77</v>
      </c>
      <c r="B50" s="56"/>
      <c r="C50" s="56"/>
      <c r="D50" s="56"/>
      <c r="E50" s="56"/>
      <c r="F50" s="56"/>
      <c r="G50" s="56"/>
      <c r="H50" s="29">
        <v>1</v>
      </c>
      <c r="I50" s="29"/>
      <c r="J50" s="29"/>
      <c r="K50" s="29"/>
      <c r="L50" s="29"/>
      <c r="M50" s="29"/>
      <c r="N50" s="29"/>
      <c r="O50" s="29"/>
      <c r="P50" s="29"/>
      <c r="Q50" s="29"/>
      <c r="R50" s="29"/>
      <c r="S50" s="29"/>
      <c r="T50" s="29"/>
      <c r="U50" s="29"/>
      <c r="V50" s="29"/>
      <c r="W50" s="29"/>
      <c r="X50" s="29"/>
      <c r="Y50" s="29"/>
      <c r="Z50" s="29"/>
      <c r="AA50" s="29"/>
      <c r="AB50" s="29"/>
      <c r="AC50" s="29"/>
      <c r="AD50" s="59"/>
      <c r="AE50" s="60"/>
      <c r="AF50" s="60"/>
      <c r="AG50" s="60"/>
      <c r="AH50" s="60"/>
      <c r="AI50" s="60"/>
      <c r="AJ50" s="61"/>
      <c r="AW50" s="94"/>
      <c r="AX50" s="95"/>
      <c r="AY50" s="95"/>
      <c r="AZ50" s="95"/>
      <c r="BA50" s="95"/>
      <c r="BB50" s="95"/>
      <c r="BC50" s="94"/>
      <c r="BD50" s="94"/>
      <c r="BE50" s="94"/>
      <c r="BF50" s="94"/>
      <c r="BG50" s="94"/>
      <c r="BH50" s="94"/>
      <c r="BI50" s="94"/>
      <c r="BJ50" s="94"/>
    </row>
    <row r="51" ht="20.05" customHeight="1" spans="1:62">
      <c r="A51" s="56" t="s">
        <v>78</v>
      </c>
      <c r="B51" s="56"/>
      <c r="C51" s="56"/>
      <c r="D51" s="56"/>
      <c r="E51" s="56"/>
      <c r="F51" s="56"/>
      <c r="G51" s="56"/>
      <c r="H51" s="29" t="s">
        <v>56</v>
      </c>
      <c r="I51" s="29"/>
      <c r="J51" s="29"/>
      <c r="K51" s="29"/>
      <c r="L51" s="29"/>
      <c r="M51" s="29"/>
      <c r="N51" s="29"/>
      <c r="O51" s="29"/>
      <c r="P51" s="29"/>
      <c r="Q51" s="29"/>
      <c r="R51" s="29"/>
      <c r="S51" s="29"/>
      <c r="T51" s="29"/>
      <c r="U51" s="29"/>
      <c r="V51" s="29"/>
      <c r="W51" s="29"/>
      <c r="X51" s="29"/>
      <c r="Y51" s="29"/>
      <c r="Z51" s="29"/>
      <c r="AA51" s="29"/>
      <c r="AB51" s="29"/>
      <c r="AC51" s="29"/>
      <c r="AD51" s="63"/>
      <c r="AE51" s="64"/>
      <c r="AF51" s="64"/>
      <c r="AG51" s="64"/>
      <c r="AH51" s="64"/>
      <c r="AI51" s="64"/>
      <c r="AJ51" s="65"/>
      <c r="AW51" s="96"/>
      <c r="AX51" s="96"/>
      <c r="AY51" s="96"/>
      <c r="AZ51" s="96"/>
      <c r="BA51" s="96"/>
      <c r="BB51" s="96"/>
      <c r="BC51" s="96"/>
      <c r="BD51" s="96"/>
      <c r="BE51" s="96"/>
      <c r="BF51" s="96"/>
      <c r="BG51" s="96"/>
      <c r="BH51" s="96"/>
      <c r="BI51" s="96"/>
      <c r="BJ51" s="96"/>
    </row>
    <row r="52" ht="20.05" customHeight="1" spans="1:62">
      <c r="A52" s="56" t="s">
        <v>79</v>
      </c>
      <c r="B52" s="56"/>
      <c r="C52" s="56"/>
      <c r="D52" s="56"/>
      <c r="E52" s="56"/>
      <c r="F52" s="56"/>
      <c r="G52" s="56"/>
      <c r="H52" s="29" t="s">
        <v>49</v>
      </c>
      <c r="I52" s="29"/>
      <c r="J52" s="29"/>
      <c r="K52" s="29"/>
      <c r="L52" s="29"/>
      <c r="M52" s="29"/>
      <c r="N52" s="29"/>
      <c r="O52" s="29"/>
      <c r="P52" s="29"/>
      <c r="Q52" s="29"/>
      <c r="R52" s="29"/>
      <c r="S52" s="29"/>
      <c r="T52" s="29"/>
      <c r="U52" s="29"/>
      <c r="V52" s="29"/>
      <c r="W52" s="29"/>
      <c r="X52" s="29"/>
      <c r="Y52" s="29"/>
      <c r="Z52" s="29"/>
      <c r="AA52" s="29"/>
      <c r="AB52" s="29"/>
      <c r="AC52" s="29"/>
      <c r="AD52" s="63"/>
      <c r="AE52" s="64"/>
      <c r="AF52" s="64"/>
      <c r="AG52" s="64"/>
      <c r="AH52" s="64"/>
      <c r="AI52" s="64"/>
      <c r="AJ52" s="65"/>
    </row>
    <row r="53" ht="20.05" hidden="1" customHeight="1" spans="1:62">
      <c r="A53" s="56" t="s">
        <v>80</v>
      </c>
      <c r="B53" s="56"/>
      <c r="C53" s="56"/>
      <c r="D53" s="56"/>
      <c r="E53" s="56"/>
      <c r="F53" s="56"/>
      <c r="G53" s="56"/>
      <c r="H53" s="29"/>
      <c r="I53" s="29"/>
      <c r="J53" s="29"/>
      <c r="K53" s="29"/>
      <c r="L53" s="29"/>
      <c r="M53" s="29"/>
      <c r="N53" s="29"/>
      <c r="O53" s="29"/>
      <c r="P53" s="29"/>
      <c r="Q53" s="29"/>
      <c r="R53" s="29"/>
      <c r="S53" s="29"/>
      <c r="T53" s="29"/>
      <c r="U53" s="29"/>
      <c r="V53" s="29"/>
      <c r="W53" s="29"/>
      <c r="X53" s="29"/>
      <c r="Y53" s="29"/>
      <c r="Z53" s="29"/>
      <c r="AA53" s="29"/>
      <c r="AB53" s="29"/>
      <c r="AC53" s="29"/>
      <c r="AD53" s="63"/>
      <c r="AE53" s="64"/>
      <c r="AF53" s="64"/>
      <c r="AG53" s="64"/>
      <c r="AH53" s="64"/>
      <c r="AI53" s="64"/>
      <c r="AJ53" s="65"/>
      <c r="AW53" s="97"/>
      <c r="AX53" s="97"/>
      <c r="AY53" s="97"/>
      <c r="AZ53" s="97"/>
      <c r="BA53" s="97"/>
      <c r="BB53" s="97"/>
      <c r="BC53" s="97"/>
      <c r="BD53" s="97"/>
      <c r="BE53" s="97"/>
      <c r="BF53" s="97"/>
      <c r="BG53" s="97"/>
      <c r="BH53" s="97"/>
      <c r="BI53" s="97"/>
      <c r="BJ53" s="97"/>
    </row>
    <row r="54" ht="20.05" hidden="1" customHeight="1" spans="1:62">
      <c r="A54" s="56" t="s">
        <v>81</v>
      </c>
      <c r="B54" s="56"/>
      <c r="C54" s="56"/>
      <c r="D54" s="56"/>
      <c r="E54" s="56"/>
      <c r="F54" s="56"/>
      <c r="G54" s="56"/>
      <c r="H54" s="29"/>
      <c r="I54" s="29"/>
      <c r="J54" s="29"/>
      <c r="K54" s="29"/>
      <c r="L54" s="29"/>
      <c r="M54" s="29"/>
      <c r="N54" s="29"/>
      <c r="O54" s="29"/>
      <c r="P54" s="29"/>
      <c r="Q54" s="29"/>
      <c r="R54" s="29"/>
      <c r="S54" s="29"/>
      <c r="T54" s="29"/>
      <c r="U54" s="29"/>
      <c r="V54" s="29"/>
      <c r="W54" s="29"/>
      <c r="X54" s="29"/>
      <c r="Y54" s="29"/>
      <c r="Z54" s="29"/>
      <c r="AA54" s="29"/>
      <c r="AB54" s="29"/>
      <c r="AC54" s="29"/>
      <c r="AD54" s="63"/>
      <c r="AE54" s="64"/>
      <c r="AF54" s="64"/>
      <c r="AG54" s="64"/>
      <c r="AH54" s="64"/>
      <c r="AI54" s="64"/>
      <c r="AJ54" s="65"/>
      <c r="AW54" s="94"/>
      <c r="AX54" s="95"/>
      <c r="AY54" s="95"/>
      <c r="AZ54" s="95"/>
      <c r="BA54" s="95"/>
      <c r="BB54" s="95"/>
      <c r="BC54" s="94"/>
      <c r="BD54" s="94"/>
      <c r="BE54" s="94"/>
      <c r="BF54" s="94"/>
      <c r="BG54" s="94"/>
      <c r="BH54" s="94"/>
      <c r="BI54" s="94"/>
      <c r="BJ54" s="94"/>
    </row>
    <row r="55" ht="20.05" customHeight="1" spans="1:62">
      <c r="A55" s="56" t="s">
        <v>82</v>
      </c>
      <c r="B55" s="56"/>
      <c r="C55" s="56"/>
      <c r="D55" s="56"/>
      <c r="E55" s="56"/>
      <c r="F55" s="56"/>
      <c r="G55" s="56"/>
      <c r="H55" s="29" t="s">
        <v>49</v>
      </c>
      <c r="I55" s="29"/>
      <c r="J55" s="29"/>
      <c r="K55" s="29"/>
      <c r="L55" s="29"/>
      <c r="M55" s="29"/>
      <c r="N55" s="29"/>
      <c r="O55" s="29"/>
      <c r="P55" s="29"/>
      <c r="Q55" s="29"/>
      <c r="R55" s="29"/>
      <c r="S55" s="29"/>
      <c r="T55" s="29"/>
      <c r="U55" s="29"/>
      <c r="V55" s="29"/>
      <c r="W55" s="29"/>
      <c r="X55" s="29"/>
      <c r="Y55" s="29"/>
      <c r="Z55" s="29"/>
      <c r="AA55" s="29"/>
      <c r="AB55" s="29"/>
      <c r="AC55" s="29"/>
      <c r="AD55" s="63"/>
      <c r="AE55" s="64"/>
      <c r="AF55" s="64"/>
      <c r="AG55" s="64"/>
      <c r="AH55" s="64"/>
      <c r="AI55" s="64"/>
      <c r="AJ55" s="65"/>
      <c r="AW55" s="96"/>
      <c r="AX55" s="96"/>
      <c r="AY55" s="96"/>
      <c r="AZ55" s="96"/>
      <c r="BA55" s="96"/>
      <c r="BB55" s="96"/>
      <c r="BC55" s="96"/>
      <c r="BD55" s="96"/>
      <c r="BE55" s="96"/>
      <c r="BF55" s="96"/>
      <c r="BG55" s="96"/>
      <c r="BH55" s="96"/>
      <c r="BI55" s="96"/>
      <c r="BJ55" s="96"/>
    </row>
    <row r="56" ht="20.05" hidden="1" customHeight="1" spans="1:62">
      <c r="A56" s="98" t="s">
        <v>83</v>
      </c>
      <c r="B56" s="98"/>
      <c r="C56" s="62" t="s">
        <v>84</v>
      </c>
      <c r="D56" s="62"/>
      <c r="E56" s="62"/>
      <c r="F56" s="62"/>
      <c r="G56" s="62"/>
      <c r="H56" s="29"/>
      <c r="I56" s="29"/>
      <c r="J56" s="29"/>
      <c r="K56" s="29"/>
      <c r="L56" s="29"/>
      <c r="M56" s="29"/>
      <c r="N56" s="29"/>
      <c r="O56" s="29"/>
      <c r="P56" s="29"/>
      <c r="Q56" s="29"/>
      <c r="R56" s="29"/>
      <c r="S56" s="29"/>
      <c r="T56" s="62" t="s">
        <v>85</v>
      </c>
      <c r="U56" s="62"/>
      <c r="V56" s="29"/>
      <c r="W56" s="29"/>
      <c r="X56" s="29"/>
      <c r="Y56" s="29"/>
      <c r="Z56" s="29"/>
      <c r="AA56" s="29"/>
      <c r="AB56" s="29"/>
      <c r="AC56" s="29"/>
      <c r="AD56" s="63"/>
      <c r="AE56" s="64"/>
      <c r="AF56" s="64"/>
      <c r="AG56" s="64"/>
      <c r="AH56" s="64"/>
      <c r="AI56" s="64"/>
      <c r="AJ56" s="65"/>
    </row>
    <row r="57" ht="20.05" hidden="1" customHeight="1" spans="1:62">
      <c r="A57" s="98"/>
      <c r="B57" s="98"/>
      <c r="C57" s="56" t="s">
        <v>86</v>
      </c>
      <c r="D57" s="56"/>
      <c r="E57" s="56"/>
      <c r="F57" s="56"/>
      <c r="G57" s="56"/>
      <c r="H57" s="29"/>
      <c r="I57" s="29"/>
      <c r="J57" s="29"/>
      <c r="K57" s="29"/>
      <c r="L57" s="29"/>
      <c r="M57" s="29"/>
      <c r="N57" s="29"/>
      <c r="O57" s="29"/>
      <c r="P57" s="29"/>
      <c r="Q57" s="29"/>
      <c r="R57" s="29"/>
      <c r="S57" s="29"/>
      <c r="T57" s="62"/>
      <c r="U57" s="62"/>
      <c r="V57" s="29"/>
      <c r="W57" s="29"/>
      <c r="X57" s="29"/>
      <c r="Y57" s="29"/>
      <c r="Z57" s="29"/>
      <c r="AA57" s="29"/>
      <c r="AB57" s="29"/>
      <c r="AC57" s="29"/>
      <c r="AD57" s="63"/>
      <c r="AE57" s="64"/>
      <c r="AF57" s="64"/>
      <c r="AG57" s="64"/>
      <c r="AH57" s="64"/>
      <c r="AI57" s="64"/>
      <c r="AJ57" s="65"/>
    </row>
    <row r="58" ht="20.05" hidden="1" customHeight="1" spans="1:62">
      <c r="A58" s="98" t="s">
        <v>87</v>
      </c>
      <c r="B58" s="98"/>
      <c r="C58" s="62" t="s">
        <v>84</v>
      </c>
      <c r="D58" s="62"/>
      <c r="E58" s="62"/>
      <c r="F58" s="62"/>
      <c r="G58" s="62"/>
      <c r="H58" s="29"/>
      <c r="I58" s="29"/>
      <c r="J58" s="29"/>
      <c r="K58" s="29"/>
      <c r="L58" s="29"/>
      <c r="M58" s="29"/>
      <c r="N58" s="29"/>
      <c r="O58" s="29"/>
      <c r="P58" s="29"/>
      <c r="Q58" s="29"/>
      <c r="R58" s="29"/>
      <c r="S58" s="29"/>
      <c r="T58" s="62" t="s">
        <v>85</v>
      </c>
      <c r="U58" s="62"/>
      <c r="V58" s="29"/>
      <c r="W58" s="29"/>
      <c r="X58" s="29"/>
      <c r="Y58" s="29"/>
      <c r="Z58" s="29"/>
      <c r="AA58" s="29"/>
      <c r="AB58" s="29"/>
      <c r="AC58" s="29"/>
      <c r="AD58" s="63"/>
      <c r="AE58" s="64"/>
      <c r="AF58" s="64"/>
      <c r="AG58" s="64"/>
      <c r="AH58" s="64"/>
      <c r="AI58" s="64"/>
      <c r="AJ58" s="65"/>
    </row>
    <row r="59" ht="20.05" hidden="1" customHeight="1" spans="1:62">
      <c r="A59" s="98"/>
      <c r="B59" s="98"/>
      <c r="C59" s="56" t="s">
        <v>86</v>
      </c>
      <c r="D59" s="56"/>
      <c r="E59" s="56"/>
      <c r="F59" s="56"/>
      <c r="G59" s="56"/>
      <c r="H59" s="29"/>
      <c r="I59" s="29"/>
      <c r="J59" s="29"/>
      <c r="K59" s="29"/>
      <c r="L59" s="29"/>
      <c r="M59" s="29"/>
      <c r="N59" s="29"/>
      <c r="O59" s="29"/>
      <c r="P59" s="29"/>
      <c r="Q59" s="29"/>
      <c r="R59" s="29"/>
      <c r="S59" s="29"/>
      <c r="T59" s="62"/>
      <c r="U59" s="62"/>
      <c r="V59" s="29"/>
      <c r="W59" s="29"/>
      <c r="X59" s="29"/>
      <c r="Y59" s="29"/>
      <c r="Z59" s="29"/>
      <c r="AA59" s="29"/>
      <c r="AB59" s="29"/>
      <c r="AC59" s="29"/>
      <c r="AD59" s="86"/>
      <c r="AE59" s="87"/>
      <c r="AF59" s="87"/>
      <c r="AG59" s="87"/>
      <c r="AH59" s="87"/>
      <c r="AI59" s="87"/>
      <c r="AJ59" s="88"/>
    </row>
    <row r="60" ht="36" customHeight="1" spans="1:62">
      <c r="A60" s="52" t="s">
        <v>88</v>
      </c>
      <c r="B60" s="53"/>
      <c r="C60" s="53"/>
      <c r="D60" s="53"/>
      <c r="E60" s="53"/>
      <c r="F60" s="53"/>
      <c r="G60" s="53"/>
      <c r="H60" s="53"/>
      <c r="I60" s="53"/>
      <c r="J60" s="53"/>
      <c r="K60" s="53"/>
      <c r="L60" s="53"/>
      <c r="M60" s="53"/>
      <c r="N60" s="53"/>
      <c r="O60" s="53"/>
      <c r="P60" s="53"/>
      <c r="Q60" s="53"/>
      <c r="R60" s="53"/>
      <c r="S60" s="53"/>
      <c r="T60" s="53"/>
      <c r="U60" s="53"/>
      <c r="V60" s="53"/>
      <c r="W60" s="53"/>
      <c r="X60" s="53"/>
      <c r="Y60" s="53"/>
      <c r="Z60" s="53"/>
      <c r="AA60" s="53"/>
      <c r="AB60" s="53"/>
      <c r="AC60" s="53"/>
      <c r="AD60" s="53"/>
      <c r="AE60" s="53"/>
      <c r="AF60" s="53"/>
      <c r="AG60" s="53"/>
      <c r="AH60" s="53"/>
      <c r="AI60" s="53"/>
      <c r="AJ60" s="54"/>
    </row>
    <row r="61" ht="36" customHeight="1" spans="1:62">
      <c r="A61" s="82" t="s">
        <v>89</v>
      </c>
      <c r="B61" s="67"/>
      <c r="C61" s="67"/>
      <c r="D61" s="67"/>
      <c r="E61" s="67"/>
      <c r="F61" s="67"/>
      <c r="G61" s="68"/>
      <c r="H61" s="29" t="s">
        <v>90</v>
      </c>
      <c r="I61" s="29"/>
      <c r="J61" s="29"/>
      <c r="K61" s="29"/>
      <c r="L61" s="29"/>
      <c r="M61" s="29"/>
      <c r="N61" s="29"/>
      <c r="O61" s="29"/>
      <c r="P61" s="29"/>
      <c r="Q61" s="29"/>
      <c r="R61" s="29"/>
      <c r="S61" s="29"/>
      <c r="T61" s="29"/>
      <c r="U61" s="29"/>
      <c r="V61" s="29"/>
      <c r="W61" s="29"/>
      <c r="X61" s="29"/>
      <c r="Y61" s="29"/>
      <c r="Z61" s="29"/>
      <c r="AA61" s="29"/>
      <c r="AB61" s="29"/>
      <c r="AC61" s="29"/>
      <c r="AD61" s="59"/>
      <c r="AE61" s="60"/>
      <c r="AF61" s="60"/>
      <c r="AG61" s="60"/>
      <c r="AH61" s="60"/>
      <c r="AI61" s="60"/>
      <c r="AJ61" s="61"/>
    </row>
    <row r="62" ht="81.55" hidden="1" customHeight="1" spans="1:62">
      <c r="A62" s="99"/>
      <c r="B62" s="100"/>
      <c r="C62" s="75" t="s">
        <v>91</v>
      </c>
      <c r="D62" s="76"/>
      <c r="E62" s="76"/>
      <c r="F62" s="76"/>
      <c r="G62" s="77"/>
      <c r="H62" s="82" t="s">
        <v>92</v>
      </c>
      <c r="I62" s="101"/>
      <c r="J62" s="101"/>
      <c r="K62" s="101"/>
      <c r="L62" s="101"/>
      <c r="M62" s="101"/>
      <c r="N62" s="101"/>
      <c r="O62" s="101"/>
      <c r="P62" s="101"/>
      <c r="Q62" s="101"/>
      <c r="R62" s="101"/>
      <c r="S62" s="101"/>
      <c r="T62" s="101"/>
      <c r="U62" s="101"/>
      <c r="V62" s="101"/>
      <c r="W62" s="101"/>
      <c r="X62" s="101"/>
      <c r="Y62" s="101"/>
      <c r="Z62" s="101"/>
      <c r="AA62" s="101"/>
      <c r="AB62" s="101"/>
      <c r="AC62" s="102"/>
      <c r="AD62" s="63"/>
      <c r="AE62" s="64"/>
      <c r="AF62" s="64"/>
      <c r="AG62" s="64"/>
      <c r="AH62" s="64"/>
      <c r="AI62" s="64"/>
      <c r="AJ62" s="65"/>
    </row>
    <row r="63" ht="156.55" hidden="1" customHeight="1" spans="1:62">
      <c r="A63" s="99"/>
      <c r="B63" s="100"/>
      <c r="C63" s="62" t="s">
        <v>93</v>
      </c>
      <c r="D63" s="62"/>
      <c r="E63" s="62"/>
      <c r="F63" s="62"/>
      <c r="G63" s="62"/>
      <c r="H63" s="56" t="s">
        <v>94</v>
      </c>
      <c r="I63" s="103"/>
      <c r="J63" s="103"/>
      <c r="K63" s="103"/>
      <c r="L63" s="103"/>
      <c r="M63" s="103"/>
      <c r="N63" s="103"/>
      <c r="O63" s="103"/>
      <c r="P63" s="103"/>
      <c r="Q63" s="103"/>
      <c r="R63" s="103"/>
      <c r="S63" s="103"/>
      <c r="T63" s="103"/>
      <c r="U63" s="103"/>
      <c r="V63" s="103"/>
      <c r="W63" s="103"/>
      <c r="X63" s="103"/>
      <c r="Y63" s="103"/>
      <c r="Z63" s="103"/>
      <c r="AA63" s="103"/>
      <c r="AB63" s="103"/>
      <c r="AC63" s="103"/>
      <c r="AD63" s="63"/>
      <c r="AE63" s="64"/>
      <c r="AF63" s="64"/>
      <c r="AG63" s="64"/>
      <c r="AH63" s="64"/>
      <c r="AI63" s="64"/>
      <c r="AJ63" s="65"/>
    </row>
    <row r="64" ht="181.5" hidden="1" customHeight="1" spans="1:62">
      <c r="A64" s="104"/>
      <c r="B64" s="105"/>
      <c r="C64" s="82" t="s">
        <v>95</v>
      </c>
      <c r="D64" s="67"/>
      <c r="E64" s="67"/>
      <c r="F64" s="67"/>
      <c r="G64" s="68"/>
      <c r="H64" s="82" t="s">
        <v>96</v>
      </c>
      <c r="I64" s="101"/>
      <c r="J64" s="101"/>
      <c r="K64" s="101"/>
      <c r="L64" s="101"/>
      <c r="M64" s="101"/>
      <c r="N64" s="101"/>
      <c r="O64" s="101"/>
      <c r="P64" s="101"/>
      <c r="Q64" s="101"/>
      <c r="R64" s="101"/>
      <c r="S64" s="101"/>
      <c r="T64" s="101"/>
      <c r="U64" s="101"/>
      <c r="V64" s="101"/>
      <c r="W64" s="101"/>
      <c r="X64" s="101"/>
      <c r="Y64" s="101"/>
      <c r="Z64" s="101"/>
      <c r="AA64" s="101"/>
      <c r="AB64" s="101"/>
      <c r="AC64" s="102"/>
      <c r="AD64" s="63"/>
      <c r="AE64" s="64"/>
      <c r="AF64" s="64"/>
      <c r="AG64" s="64"/>
      <c r="AH64" s="64"/>
      <c r="AI64" s="64"/>
      <c r="AJ64" s="65"/>
    </row>
    <row r="65" ht="22" hidden="1" customHeight="1" spans="1:36">
      <c r="A65" s="90" t="s">
        <v>97</v>
      </c>
      <c r="B65" s="56"/>
      <c r="C65" s="56"/>
      <c r="D65" s="56"/>
      <c r="E65" s="56"/>
      <c r="F65" s="56"/>
      <c r="G65" s="56"/>
      <c r="H65" s="29" t="s">
        <v>98</v>
      </c>
      <c r="I65" s="29"/>
      <c r="J65" s="29"/>
      <c r="K65" s="29"/>
      <c r="L65" s="29"/>
      <c r="M65" s="29"/>
      <c r="N65" s="29"/>
      <c r="O65" s="29"/>
      <c r="P65" s="29"/>
      <c r="Q65" s="29"/>
      <c r="R65" s="29"/>
      <c r="S65" s="29"/>
      <c r="T65" s="29"/>
      <c r="U65" s="29"/>
      <c r="V65" s="29"/>
      <c r="W65" s="29"/>
      <c r="X65" s="29"/>
      <c r="Y65" s="29"/>
      <c r="Z65" s="29"/>
      <c r="AA65" s="29"/>
      <c r="AB65" s="29"/>
      <c r="AC65" s="29"/>
      <c r="AD65" s="63"/>
      <c r="AE65" s="64"/>
      <c r="AF65" s="64"/>
      <c r="AG65" s="64"/>
      <c r="AH65" s="64"/>
      <c r="AI65" s="64"/>
      <c r="AJ65" s="65"/>
    </row>
    <row r="66" ht="29.05" hidden="1" customHeight="1" spans="1:36">
      <c r="A66" s="66" t="s">
        <v>99</v>
      </c>
      <c r="B66" s="67"/>
      <c r="C66" s="67"/>
      <c r="D66" s="67"/>
      <c r="E66" s="67"/>
      <c r="F66" s="67"/>
      <c r="G66" s="68"/>
      <c r="H66" s="48"/>
      <c r="I66" s="106"/>
      <c r="J66" s="106"/>
      <c r="K66" s="106"/>
      <c r="L66" s="106"/>
      <c r="M66" s="106"/>
      <c r="N66" s="106"/>
      <c r="O66" s="106"/>
      <c r="P66" s="106"/>
      <c r="Q66" s="106"/>
      <c r="R66" s="106"/>
      <c r="S66" s="106"/>
      <c r="T66" s="90" t="s">
        <v>100</v>
      </c>
      <c r="U66" s="56"/>
      <c r="V66" s="107"/>
      <c r="W66" s="108"/>
      <c r="X66" s="108"/>
      <c r="Y66" s="109"/>
      <c r="Z66" s="110" t="s">
        <v>101</v>
      </c>
      <c r="AA66" s="111"/>
      <c r="AB66" s="112">
        <f>CEILING(V66/5,1)*5</f>
        <v>0</v>
      </c>
      <c r="AC66" s="113"/>
      <c r="AD66" s="63"/>
      <c r="AE66" s="64"/>
      <c r="AF66" s="64"/>
      <c r="AG66" s="64"/>
      <c r="AH66" s="64"/>
      <c r="AI66" s="64"/>
      <c r="AJ66" s="65"/>
    </row>
    <row r="67" ht="30" hidden="1" customHeight="1" spans="1:36">
      <c r="A67" s="66" t="s">
        <v>102</v>
      </c>
      <c r="B67" s="67"/>
      <c r="C67" s="67"/>
      <c r="D67" s="67"/>
      <c r="E67" s="67"/>
      <c r="F67" s="67"/>
      <c r="G67" s="68"/>
      <c r="H67" s="48"/>
      <c r="I67" s="106"/>
      <c r="J67" s="106"/>
      <c r="K67" s="106"/>
      <c r="L67" s="106"/>
      <c r="M67" s="106"/>
      <c r="N67" s="106"/>
      <c r="O67" s="106"/>
      <c r="P67" s="106"/>
      <c r="Q67" s="106"/>
      <c r="R67" s="106"/>
      <c r="S67" s="106"/>
      <c r="T67" s="90" t="s">
        <v>100</v>
      </c>
      <c r="U67" s="56"/>
      <c r="V67" s="33"/>
      <c r="W67" s="34"/>
      <c r="X67" s="34"/>
      <c r="Y67" s="35"/>
      <c r="Z67" s="110" t="s">
        <v>101</v>
      </c>
      <c r="AA67" s="111"/>
      <c r="AB67" s="112">
        <f>CEILING(V67/5,1)*5</f>
        <v>0</v>
      </c>
      <c r="AC67" s="113"/>
      <c r="AD67" s="86"/>
      <c r="AE67" s="87"/>
      <c r="AF67" s="87"/>
      <c r="AG67" s="87"/>
      <c r="AH67" s="87"/>
      <c r="AI67" s="87"/>
      <c r="AJ67" s="88"/>
    </row>
    <row r="68" ht="36" customHeight="1" spans="1:36">
      <c r="A68" s="52" t="s">
        <v>103</v>
      </c>
      <c r="B68" s="53"/>
      <c r="C68" s="53"/>
      <c r="D68" s="53"/>
      <c r="E68" s="53"/>
      <c r="F68" s="53"/>
      <c r="G68" s="53"/>
      <c r="H68" s="53"/>
      <c r="I68" s="53"/>
      <c r="J68" s="53"/>
      <c r="K68" s="53"/>
      <c r="L68" s="53"/>
      <c r="M68" s="53"/>
      <c r="N68" s="53"/>
      <c r="O68" s="53"/>
      <c r="P68" s="53"/>
      <c r="Q68" s="53"/>
      <c r="R68" s="53"/>
      <c r="S68" s="53"/>
      <c r="T68" s="53"/>
      <c r="U68" s="53"/>
      <c r="V68" s="53"/>
      <c r="W68" s="53"/>
      <c r="X68" s="53"/>
      <c r="Y68" s="53"/>
      <c r="Z68" s="53"/>
      <c r="AA68" s="53"/>
      <c r="AB68" s="53"/>
      <c r="AC68" s="53"/>
      <c r="AD68" s="53"/>
      <c r="AE68" s="53"/>
      <c r="AF68" s="53"/>
      <c r="AG68" s="53"/>
      <c r="AH68" s="53"/>
      <c r="AI68" s="53"/>
      <c r="AJ68" s="54"/>
    </row>
    <row r="69" ht="20.05" customHeight="1" spans="1:36">
      <c r="A69" s="62" t="s">
        <v>104</v>
      </c>
      <c r="B69" s="62"/>
      <c r="C69" s="62"/>
      <c r="D69" s="62"/>
      <c r="E69" s="62"/>
      <c r="F69" s="62"/>
      <c r="G69" s="62"/>
      <c r="H69" s="29" t="s">
        <v>105</v>
      </c>
      <c r="I69" s="29"/>
      <c r="J69" s="29"/>
      <c r="K69" s="29"/>
      <c r="L69" s="29"/>
      <c r="M69" s="29"/>
      <c r="N69" s="29"/>
      <c r="O69" s="29"/>
      <c r="P69" s="29"/>
      <c r="Q69" s="29"/>
      <c r="R69" s="29"/>
      <c r="S69" s="29"/>
      <c r="T69" s="29"/>
      <c r="U69" s="29"/>
      <c r="V69" s="29"/>
      <c r="W69" s="29"/>
      <c r="X69" s="29"/>
      <c r="Y69" s="29"/>
      <c r="Z69" s="29"/>
      <c r="AA69" s="29"/>
      <c r="AB69" s="29"/>
      <c r="AC69" s="29"/>
      <c r="AD69" s="59"/>
      <c r="AE69" s="60"/>
      <c r="AF69" s="60"/>
      <c r="AG69" s="60"/>
      <c r="AH69" s="60"/>
      <c r="AI69" s="60"/>
      <c r="AJ69" s="61"/>
    </row>
    <row r="70" ht="70" customHeight="1" spans="1:36">
      <c r="A70" s="62" t="s">
        <v>106</v>
      </c>
      <c r="B70" s="62"/>
      <c r="C70" s="62"/>
      <c r="D70" s="62"/>
      <c r="E70" s="62"/>
      <c r="F70" s="62"/>
      <c r="G70" s="62"/>
      <c r="H70" s="89" t="s">
        <v>107</v>
      </c>
      <c r="I70" s="89"/>
      <c r="J70" s="89"/>
      <c r="K70" s="89"/>
      <c r="L70" s="89"/>
      <c r="M70" s="89"/>
      <c r="N70" s="89"/>
      <c r="O70" s="89"/>
      <c r="P70" s="44"/>
      <c r="Q70" s="44"/>
      <c r="R70" s="114"/>
      <c r="S70" s="115"/>
      <c r="T70" s="44"/>
      <c r="U70" s="44"/>
      <c r="V70" s="44"/>
      <c r="W70" s="44"/>
      <c r="X70" s="44"/>
      <c r="Y70" s="44"/>
      <c r="Z70" s="44"/>
      <c r="AA70" s="44"/>
      <c r="AB70" s="44"/>
      <c r="AC70" s="44"/>
      <c r="AD70" s="63"/>
      <c r="AE70" s="64"/>
      <c r="AF70" s="64"/>
      <c r="AG70" s="64"/>
      <c r="AH70" s="64"/>
      <c r="AI70" s="64"/>
      <c r="AJ70" s="65"/>
    </row>
    <row r="71" ht="20.05" customHeight="1" spans="1:36">
      <c r="A71" s="62" t="s">
        <v>108</v>
      </c>
      <c r="B71" s="62"/>
      <c r="C71" s="62"/>
      <c r="D71" s="62"/>
      <c r="E71" s="62"/>
      <c r="F71" s="62"/>
      <c r="G71" s="62"/>
      <c r="H71" s="29" t="s">
        <v>56</v>
      </c>
      <c r="I71" s="29"/>
      <c r="J71" s="29"/>
      <c r="K71" s="29"/>
      <c r="L71" s="29"/>
      <c r="M71" s="29"/>
      <c r="N71" s="29"/>
      <c r="O71" s="29"/>
      <c r="P71" s="29"/>
      <c r="Q71" s="29"/>
      <c r="R71" s="29"/>
      <c r="S71" s="29"/>
      <c r="T71" s="29"/>
      <c r="U71" s="29"/>
      <c r="V71" s="29"/>
      <c r="W71" s="29"/>
      <c r="X71" s="29"/>
      <c r="Y71" s="29"/>
      <c r="Z71" s="29"/>
      <c r="AA71" s="29"/>
      <c r="AB71" s="29"/>
      <c r="AC71" s="29"/>
      <c r="AD71" s="63"/>
      <c r="AE71" s="64"/>
      <c r="AF71" s="64"/>
      <c r="AG71" s="64"/>
      <c r="AH71" s="64"/>
      <c r="AI71" s="64"/>
      <c r="AJ71" s="65"/>
    </row>
    <row r="72" ht="36" hidden="1" customHeight="1" spans="1:36">
      <c r="A72" s="62" t="s">
        <v>109</v>
      </c>
      <c r="B72" s="62"/>
      <c r="C72" s="62"/>
      <c r="D72" s="62"/>
      <c r="E72" s="62"/>
      <c r="F72" s="62"/>
      <c r="G72" s="62"/>
      <c r="H72" s="43" t="s">
        <v>110</v>
      </c>
      <c r="I72" s="43"/>
      <c r="J72" s="43"/>
      <c r="K72" s="43"/>
      <c r="L72" s="43"/>
      <c r="M72" s="43"/>
      <c r="N72" s="43"/>
      <c r="O72" s="43"/>
      <c r="P72" s="43"/>
      <c r="Q72" s="43"/>
      <c r="R72" s="43"/>
      <c r="S72" s="43"/>
      <c r="T72" s="43"/>
      <c r="U72" s="43"/>
      <c r="V72" s="43"/>
      <c r="W72" s="43"/>
      <c r="X72" s="43"/>
      <c r="Y72" s="43"/>
      <c r="Z72" s="43"/>
      <c r="AA72" s="43"/>
      <c r="AB72" s="43"/>
      <c r="AC72" s="43"/>
      <c r="AD72" s="63"/>
      <c r="AE72" s="64"/>
      <c r="AF72" s="64"/>
      <c r="AG72" s="64"/>
      <c r="AH72" s="64"/>
      <c r="AI72" s="64"/>
      <c r="AJ72" s="65"/>
    </row>
    <row r="73" ht="20.05" customHeight="1" spans="1:36">
      <c r="A73" s="62" t="s">
        <v>111</v>
      </c>
      <c r="B73" s="62"/>
      <c r="C73" s="62"/>
      <c r="D73" s="62"/>
      <c r="E73" s="62"/>
      <c r="F73" s="62"/>
      <c r="G73" s="62"/>
      <c r="H73" s="29" t="s">
        <v>56</v>
      </c>
      <c r="I73" s="29"/>
      <c r="J73" s="29"/>
      <c r="K73" s="29"/>
      <c r="L73" s="29"/>
      <c r="M73" s="29"/>
      <c r="N73" s="29"/>
      <c r="O73" s="29"/>
      <c r="P73" s="29"/>
      <c r="Q73" s="29"/>
      <c r="R73" s="29"/>
      <c r="S73" s="29"/>
      <c r="T73" s="29"/>
      <c r="U73" s="29"/>
      <c r="V73" s="29"/>
      <c r="W73" s="29"/>
      <c r="X73" s="29"/>
      <c r="Y73" s="29"/>
      <c r="Z73" s="29"/>
      <c r="AA73" s="29"/>
      <c r="AB73" s="29"/>
      <c r="AC73" s="29"/>
      <c r="AD73" s="63"/>
      <c r="AE73" s="64"/>
      <c r="AF73" s="64"/>
      <c r="AG73" s="64"/>
      <c r="AH73" s="64"/>
      <c r="AI73" s="64"/>
      <c r="AJ73" s="65"/>
    </row>
    <row r="74" ht="36" hidden="1" customHeight="1" spans="1:36">
      <c r="A74" s="78" t="s">
        <v>112</v>
      </c>
      <c r="B74" s="79"/>
      <c r="C74" s="79"/>
      <c r="D74" s="79"/>
      <c r="E74" s="79"/>
      <c r="F74" s="79"/>
      <c r="G74" s="80"/>
      <c r="H74" s="116" t="s">
        <v>44</v>
      </c>
      <c r="I74" s="117"/>
      <c r="J74" s="117"/>
      <c r="K74" s="117"/>
      <c r="L74" s="117"/>
      <c r="M74" s="117"/>
      <c r="N74" s="117"/>
      <c r="O74" s="117"/>
      <c r="P74" s="117"/>
      <c r="Q74" s="117"/>
      <c r="R74" s="117"/>
      <c r="S74" s="117"/>
      <c r="T74" s="117"/>
      <c r="U74" s="117"/>
      <c r="V74" s="117"/>
      <c r="W74" s="117"/>
      <c r="X74" s="117"/>
      <c r="Y74" s="117"/>
      <c r="Z74" s="117"/>
      <c r="AA74" s="117"/>
      <c r="AB74" s="117"/>
      <c r="AC74" s="118"/>
      <c r="AD74" s="63"/>
      <c r="AE74" s="64"/>
      <c r="AF74" s="64"/>
      <c r="AG74" s="64"/>
      <c r="AH74" s="64"/>
      <c r="AI74" s="64"/>
      <c r="AJ74" s="65"/>
    </row>
    <row r="75" ht="20.05" customHeight="1" spans="1:36">
      <c r="A75" s="62" t="s">
        <v>113</v>
      </c>
      <c r="B75" s="62"/>
      <c r="C75" s="62"/>
      <c r="D75" s="62"/>
      <c r="E75" s="62"/>
      <c r="F75" s="62"/>
      <c r="G75" s="62"/>
      <c r="H75" s="29" t="s">
        <v>114</v>
      </c>
      <c r="I75" s="29"/>
      <c r="J75" s="29"/>
      <c r="K75" s="29"/>
      <c r="L75" s="29"/>
      <c r="M75" s="29"/>
      <c r="N75" s="29"/>
      <c r="O75" s="29"/>
      <c r="P75" s="29"/>
      <c r="Q75" s="29"/>
      <c r="R75" s="29"/>
      <c r="S75" s="29"/>
      <c r="T75" s="29"/>
      <c r="U75" s="29"/>
      <c r="V75" s="29"/>
      <c r="W75" s="29"/>
      <c r="X75" s="29"/>
      <c r="Y75" s="29"/>
      <c r="Z75" s="29"/>
      <c r="AA75" s="29"/>
      <c r="AB75" s="29"/>
      <c r="AC75" s="29"/>
      <c r="AD75" s="63"/>
      <c r="AE75" s="64"/>
      <c r="AF75" s="64"/>
      <c r="AG75" s="64"/>
      <c r="AH75" s="64"/>
      <c r="AI75" s="64"/>
      <c r="AJ75" s="65"/>
    </row>
    <row r="76" ht="20.05" customHeight="1" spans="1:36">
      <c r="A76" s="62" t="s">
        <v>115</v>
      </c>
      <c r="B76" s="62"/>
      <c r="C76" s="62"/>
      <c r="D76" s="62"/>
      <c r="E76" s="62"/>
      <c r="F76" s="62"/>
      <c r="G76" s="62"/>
      <c r="H76" s="29" t="s">
        <v>116</v>
      </c>
      <c r="I76" s="29"/>
      <c r="J76" s="29"/>
      <c r="K76" s="29"/>
      <c r="L76" s="29"/>
      <c r="M76" s="29"/>
      <c r="N76" s="29"/>
      <c r="O76" s="29"/>
      <c r="P76" s="29"/>
      <c r="Q76" s="29"/>
      <c r="R76" s="29"/>
      <c r="S76" s="29"/>
      <c r="T76" s="29"/>
      <c r="U76" s="29"/>
      <c r="V76" s="29"/>
      <c r="W76" s="29"/>
      <c r="X76" s="29"/>
      <c r="Y76" s="29"/>
      <c r="Z76" s="29"/>
      <c r="AA76" s="29"/>
      <c r="AB76" s="29"/>
      <c r="AC76" s="29"/>
      <c r="AD76" s="63"/>
      <c r="AE76" s="64"/>
      <c r="AF76" s="64"/>
      <c r="AG76" s="64"/>
      <c r="AH76" s="64"/>
      <c r="AI76" s="64"/>
      <c r="AJ76" s="65"/>
    </row>
    <row r="77" ht="20.05" customHeight="1" spans="1:36">
      <c r="A77" s="83" t="s">
        <v>117</v>
      </c>
      <c r="B77" s="84"/>
      <c r="C77" s="84"/>
      <c r="D77" s="84"/>
      <c r="E77" s="84"/>
      <c r="F77" s="84"/>
      <c r="G77" s="85"/>
      <c r="H77" s="29" t="s">
        <v>118</v>
      </c>
      <c r="I77" s="29"/>
      <c r="J77" s="29"/>
      <c r="K77" s="29"/>
      <c r="L77" s="29"/>
      <c r="M77" s="29"/>
      <c r="N77" s="29"/>
      <c r="O77" s="29"/>
      <c r="P77" s="29"/>
      <c r="Q77" s="29"/>
      <c r="R77" s="29"/>
      <c r="S77" s="29"/>
      <c r="T77" s="29"/>
      <c r="U77" s="29"/>
      <c r="V77" s="29"/>
      <c r="W77" s="29"/>
      <c r="X77" s="29"/>
      <c r="Y77" s="29"/>
      <c r="Z77" s="29"/>
      <c r="AA77" s="29"/>
      <c r="AB77" s="29"/>
      <c r="AC77" s="29"/>
      <c r="AD77" s="63"/>
      <c r="AE77" s="64"/>
      <c r="AF77" s="64"/>
      <c r="AG77" s="64"/>
      <c r="AH77" s="64"/>
      <c r="AI77" s="64"/>
      <c r="AJ77" s="65"/>
    </row>
    <row r="78" ht="20.05" customHeight="1" spans="1:36">
      <c r="A78" s="104"/>
      <c r="B78" s="119"/>
      <c r="C78" s="119"/>
      <c r="D78" s="119"/>
      <c r="E78" s="119"/>
      <c r="F78" s="119"/>
      <c r="G78" s="105"/>
      <c r="H78" s="120">
        <v>1</v>
      </c>
      <c r="I78" s="121"/>
      <c r="J78" s="121"/>
      <c r="K78" s="121"/>
      <c r="L78" s="121"/>
      <c r="M78" s="121"/>
      <c r="N78" s="121"/>
      <c r="O78" s="121"/>
      <c r="P78" s="121"/>
      <c r="Q78" s="121"/>
      <c r="R78" s="121"/>
      <c r="S78" s="121"/>
      <c r="T78" s="121"/>
      <c r="U78" s="121"/>
      <c r="V78" s="121"/>
      <c r="W78" s="121"/>
      <c r="X78" s="121"/>
      <c r="Y78" s="121"/>
      <c r="Z78" s="121"/>
      <c r="AA78" s="121"/>
      <c r="AB78" s="122" t="s">
        <v>119</v>
      </c>
      <c r="AC78" s="123"/>
      <c r="AD78" s="63"/>
      <c r="AE78" s="64"/>
      <c r="AF78" s="64"/>
      <c r="AG78" s="64"/>
      <c r="AH78" s="64"/>
      <c r="AI78" s="64"/>
      <c r="AJ78" s="65"/>
    </row>
    <row r="79" ht="20.05" customHeight="1" spans="1:36">
      <c r="A79" s="72" t="s">
        <v>120</v>
      </c>
      <c r="B79" s="73"/>
      <c r="C79" s="73"/>
      <c r="D79" s="73"/>
      <c r="E79" s="73"/>
      <c r="F79" s="73"/>
      <c r="G79" s="74"/>
      <c r="H79" s="29" t="s">
        <v>118</v>
      </c>
      <c r="I79" s="29"/>
      <c r="J79" s="29"/>
      <c r="K79" s="29"/>
      <c r="L79" s="29"/>
      <c r="M79" s="29"/>
      <c r="N79" s="29"/>
      <c r="O79" s="29"/>
      <c r="P79" s="29"/>
      <c r="Q79" s="29"/>
      <c r="R79" s="29"/>
      <c r="S79" s="29"/>
      <c r="T79" s="29"/>
      <c r="U79" s="29"/>
      <c r="V79" s="29"/>
      <c r="W79" s="29"/>
      <c r="X79" s="29"/>
      <c r="Y79" s="29"/>
      <c r="Z79" s="29"/>
      <c r="AA79" s="29"/>
      <c r="AB79" s="29"/>
      <c r="AC79" s="29"/>
      <c r="AD79" s="63"/>
      <c r="AE79" s="64"/>
      <c r="AF79" s="64"/>
      <c r="AG79" s="64"/>
      <c r="AH79" s="64"/>
      <c r="AI79" s="64"/>
      <c r="AJ79" s="65"/>
    </row>
    <row r="80" ht="20.05" customHeight="1" spans="1:36">
      <c r="A80" s="82" t="s">
        <v>121</v>
      </c>
      <c r="B80" s="67"/>
      <c r="C80" s="67"/>
      <c r="D80" s="67"/>
      <c r="E80" s="67"/>
      <c r="F80" s="67"/>
      <c r="G80" s="68"/>
      <c r="H80" s="33" t="s">
        <v>122</v>
      </c>
      <c r="I80" s="34"/>
      <c r="J80" s="34"/>
      <c r="K80" s="34"/>
      <c r="L80" s="34"/>
      <c r="M80" s="34"/>
      <c r="N80" s="34"/>
      <c r="O80" s="34"/>
      <c r="P80" s="34"/>
      <c r="Q80" s="34"/>
      <c r="R80" s="34"/>
      <c r="S80" s="34"/>
      <c r="T80" s="34"/>
      <c r="U80" s="34"/>
      <c r="V80" s="34"/>
      <c r="W80" s="34"/>
      <c r="X80" s="34"/>
      <c r="Y80" s="34"/>
      <c r="Z80" s="34"/>
      <c r="AA80" s="34"/>
      <c r="AB80" s="34"/>
      <c r="AC80" s="35"/>
      <c r="AD80" s="63"/>
      <c r="AE80" s="64"/>
      <c r="AF80" s="64"/>
      <c r="AG80" s="64"/>
      <c r="AH80" s="64"/>
      <c r="AI80" s="64"/>
      <c r="AJ80" s="65"/>
    </row>
    <row r="81" ht="18" hidden="1" customHeight="1" spans="1:36">
      <c r="A81" s="90" t="s">
        <v>123</v>
      </c>
      <c r="B81" s="56"/>
      <c r="C81" s="124" t="s">
        <v>124</v>
      </c>
      <c r="D81" s="62"/>
      <c r="E81" s="62"/>
      <c r="F81" s="62"/>
      <c r="G81" s="62"/>
      <c r="H81" s="29" t="s">
        <v>125</v>
      </c>
      <c r="I81" s="29"/>
      <c r="J81" s="29"/>
      <c r="K81" s="29"/>
      <c r="L81" s="29"/>
      <c r="M81" s="29"/>
      <c r="N81" s="29"/>
      <c r="O81" s="29"/>
      <c r="P81" s="29"/>
      <c r="Q81" s="29"/>
      <c r="R81" s="29"/>
      <c r="S81" s="29"/>
      <c r="T81" s="29"/>
      <c r="U81" s="29"/>
      <c r="V81" s="29"/>
      <c r="W81" s="29"/>
      <c r="X81" s="29"/>
      <c r="Y81" s="29"/>
      <c r="Z81" s="29"/>
      <c r="AA81" s="29"/>
      <c r="AB81" s="29"/>
      <c r="AC81" s="29"/>
      <c r="AD81" s="63"/>
      <c r="AE81" s="64"/>
      <c r="AF81" s="64"/>
      <c r="AG81" s="64"/>
      <c r="AH81" s="64"/>
      <c r="AI81" s="64"/>
      <c r="AJ81" s="65"/>
    </row>
    <row r="82" ht="18" hidden="1" customHeight="1" spans="1:36">
      <c r="A82" s="56"/>
      <c r="B82" s="56"/>
      <c r="C82" s="124" t="s">
        <v>126</v>
      </c>
      <c r="D82" s="62"/>
      <c r="E82" s="62"/>
      <c r="F82" s="62"/>
      <c r="G82" s="62"/>
      <c r="H82" s="29" t="s">
        <v>125</v>
      </c>
      <c r="I82" s="29"/>
      <c r="J82" s="29"/>
      <c r="K82" s="29"/>
      <c r="L82" s="29"/>
      <c r="M82" s="29"/>
      <c r="N82" s="29"/>
      <c r="O82" s="29"/>
      <c r="P82" s="29"/>
      <c r="Q82" s="29"/>
      <c r="R82" s="29"/>
      <c r="S82" s="29"/>
      <c r="T82" s="29"/>
      <c r="U82" s="29"/>
      <c r="V82" s="29"/>
      <c r="W82" s="29"/>
      <c r="X82" s="29"/>
      <c r="Y82" s="29"/>
      <c r="Z82" s="29"/>
      <c r="AA82" s="29"/>
      <c r="AB82" s="29"/>
      <c r="AC82" s="29"/>
      <c r="AD82" s="86"/>
      <c r="AE82" s="87"/>
      <c r="AF82" s="87"/>
      <c r="AG82" s="87"/>
      <c r="AH82" s="87"/>
      <c r="AI82" s="87"/>
      <c r="AJ82" s="88"/>
    </row>
    <row r="83" ht="18" customHeight="1" spans="1:36">
      <c r="A83" s="72" t="s">
        <v>127</v>
      </c>
      <c r="B83" s="73"/>
      <c r="C83" s="74"/>
      <c r="D83" s="125"/>
      <c r="E83" s="125"/>
      <c r="F83" s="125"/>
      <c r="G83" s="125"/>
      <c r="H83" s="125"/>
      <c r="I83" s="125"/>
      <c r="J83" s="125"/>
      <c r="K83" s="125"/>
      <c r="L83" s="125"/>
      <c r="M83" s="125"/>
      <c r="N83" s="125"/>
      <c r="O83" s="125"/>
      <c r="P83" s="125"/>
      <c r="Q83" s="125"/>
      <c r="R83" s="125"/>
      <c r="S83" s="125"/>
      <c r="T83" s="125"/>
      <c r="U83" s="125"/>
      <c r="V83" s="125"/>
      <c r="W83" s="125"/>
      <c r="X83" s="125"/>
      <c r="Y83" s="125"/>
      <c r="Z83" s="125"/>
      <c r="AA83" s="125"/>
      <c r="AB83" s="125"/>
      <c r="AC83" s="125"/>
      <c r="AD83" s="125"/>
      <c r="AE83" s="125"/>
      <c r="AF83" s="125"/>
      <c r="AG83" s="125"/>
      <c r="AH83" s="125"/>
      <c r="AI83" s="125"/>
      <c r="AJ83" s="126"/>
    </row>
    <row r="84" ht="18" customHeight="1" spans="1:36">
      <c r="A84" s="127"/>
      <c r="B84" s="128"/>
      <c r="C84" s="129"/>
      <c r="D84" s="130"/>
      <c r="E84" s="130"/>
      <c r="F84" s="130"/>
      <c r="G84" s="130"/>
      <c r="H84" s="130"/>
      <c r="I84" s="130"/>
      <c r="J84" s="130"/>
      <c r="K84" s="130"/>
      <c r="L84" s="130"/>
      <c r="M84" s="130"/>
      <c r="N84" s="130"/>
      <c r="O84" s="130"/>
      <c r="P84" s="130"/>
      <c r="Q84" s="130"/>
      <c r="R84" s="130"/>
      <c r="S84" s="130"/>
      <c r="T84" s="130"/>
      <c r="U84" s="130"/>
      <c r="V84" s="130"/>
      <c r="W84" s="130"/>
      <c r="X84" s="130"/>
      <c r="Y84" s="130"/>
      <c r="Z84" s="130"/>
      <c r="AA84" s="130"/>
      <c r="AB84" s="130"/>
      <c r="AC84" s="130"/>
      <c r="AD84" s="130"/>
      <c r="AE84" s="130"/>
      <c r="AF84" s="130"/>
      <c r="AG84" s="130"/>
      <c r="AH84" s="130"/>
      <c r="AI84" s="130"/>
      <c r="AJ84" s="131"/>
    </row>
    <row r="85" ht="18" customHeight="1" spans="1:36">
      <c r="A85" s="127"/>
      <c r="B85" s="128"/>
      <c r="C85" s="129"/>
      <c r="D85" s="130"/>
      <c r="E85" s="130"/>
      <c r="F85" s="130"/>
      <c r="G85" s="130"/>
      <c r="H85" s="130"/>
      <c r="I85" s="130"/>
      <c r="J85" s="130"/>
      <c r="K85" s="130"/>
      <c r="L85" s="130"/>
      <c r="M85" s="130"/>
      <c r="N85" s="130"/>
      <c r="O85" s="130"/>
      <c r="P85" s="130"/>
      <c r="Q85" s="130"/>
      <c r="R85" s="130"/>
      <c r="S85" s="130"/>
      <c r="T85" s="130"/>
      <c r="U85" s="130"/>
      <c r="V85" s="130"/>
      <c r="W85" s="130"/>
      <c r="X85" s="130"/>
      <c r="Y85" s="130"/>
      <c r="Z85" s="130"/>
      <c r="AA85" s="130"/>
      <c r="AB85" s="130"/>
      <c r="AC85" s="130"/>
      <c r="AD85" s="130"/>
      <c r="AE85" s="130"/>
      <c r="AF85" s="130"/>
      <c r="AG85" s="130"/>
      <c r="AH85" s="130"/>
      <c r="AI85" s="130"/>
      <c r="AJ85" s="131"/>
    </row>
    <row r="86" ht="18" customHeight="1" spans="1:36">
      <c r="A86" s="127"/>
      <c r="B86" s="128"/>
      <c r="C86" s="129"/>
      <c r="D86" s="130"/>
      <c r="E86" s="130"/>
      <c r="F86" s="130"/>
      <c r="G86" s="130"/>
      <c r="H86" s="130"/>
      <c r="I86" s="130"/>
      <c r="J86" s="130"/>
      <c r="K86" s="130"/>
      <c r="L86" s="130"/>
      <c r="M86" s="130"/>
      <c r="N86" s="130"/>
      <c r="O86" s="130"/>
      <c r="P86" s="130"/>
      <c r="Q86" s="130"/>
      <c r="R86" s="130"/>
      <c r="S86" s="130"/>
      <c r="T86" s="130"/>
      <c r="U86" s="130"/>
      <c r="V86" s="130"/>
      <c r="W86" s="130"/>
      <c r="X86" s="130"/>
      <c r="Y86" s="130"/>
      <c r="Z86" s="130"/>
      <c r="AA86" s="130"/>
      <c r="AB86" s="130"/>
      <c r="AC86" s="130"/>
      <c r="AD86" s="130"/>
      <c r="AE86" s="130"/>
      <c r="AF86" s="130"/>
      <c r="AG86" s="130"/>
      <c r="AH86" s="130"/>
      <c r="AI86" s="130"/>
      <c r="AJ86" s="131"/>
    </row>
    <row r="87" ht="18" customHeight="1" spans="1:36">
      <c r="A87" s="75"/>
      <c r="B87" s="76"/>
      <c r="C87" s="77"/>
      <c r="D87" s="132"/>
      <c r="E87" s="132"/>
      <c r="F87" s="132"/>
      <c r="G87" s="132"/>
      <c r="H87" s="132"/>
      <c r="I87" s="132"/>
      <c r="J87" s="132"/>
      <c r="K87" s="132"/>
      <c r="L87" s="132"/>
      <c r="M87" s="132"/>
      <c r="N87" s="132"/>
      <c r="O87" s="132"/>
      <c r="P87" s="132"/>
      <c r="Q87" s="132"/>
      <c r="R87" s="132"/>
      <c r="S87" s="132"/>
      <c r="T87" s="132"/>
      <c r="U87" s="132"/>
      <c r="V87" s="132"/>
      <c r="W87" s="132"/>
      <c r="X87" s="132"/>
      <c r="Y87" s="132"/>
      <c r="Z87" s="132"/>
      <c r="AA87" s="132"/>
      <c r="AB87" s="132"/>
      <c r="AC87" s="132"/>
      <c r="AD87" s="132"/>
      <c r="AE87" s="132"/>
      <c r="AF87" s="132"/>
      <c r="AG87" s="132"/>
      <c r="AH87" s="132"/>
      <c r="AI87" s="132"/>
      <c r="AJ87" s="133"/>
    </row>
    <row r="88" ht="18" customHeight="1" spans="1:36">
      <c r="A88" s="72" t="s">
        <v>128</v>
      </c>
      <c r="B88" s="73"/>
      <c r="C88" s="74"/>
      <c r="D88" s="134"/>
      <c r="E88" s="135"/>
      <c r="F88" s="135"/>
      <c r="G88" s="135"/>
      <c r="H88" s="135"/>
      <c r="I88" s="135"/>
      <c r="J88" s="135"/>
      <c r="K88" s="135"/>
      <c r="L88" s="136"/>
      <c r="M88" s="72" t="s">
        <v>129</v>
      </c>
      <c r="N88" s="73"/>
      <c r="O88" s="74"/>
      <c r="P88" s="134"/>
      <c r="Q88" s="135"/>
      <c r="R88" s="135"/>
      <c r="S88" s="135"/>
      <c r="T88" s="135"/>
      <c r="U88" s="135"/>
      <c r="V88" s="135"/>
      <c r="W88" s="135"/>
      <c r="X88" s="136"/>
      <c r="Y88" s="72" t="s">
        <v>130</v>
      </c>
      <c r="Z88" s="73"/>
      <c r="AA88" s="74"/>
      <c r="AB88" s="134"/>
      <c r="AC88" s="135"/>
      <c r="AD88" s="135"/>
      <c r="AE88" s="135"/>
      <c r="AF88" s="135"/>
      <c r="AG88" s="135"/>
      <c r="AH88" s="135"/>
      <c r="AI88" s="135"/>
      <c r="AJ88" s="136"/>
    </row>
    <row r="89" ht="18" customHeight="1" spans="1:36">
      <c r="A89" s="75"/>
      <c r="B89" s="76"/>
      <c r="C89" s="77"/>
      <c r="D89" s="137"/>
      <c r="E89" s="138"/>
      <c r="F89" s="138"/>
      <c r="G89" s="138"/>
      <c r="H89" s="138"/>
      <c r="I89" s="138"/>
      <c r="J89" s="138"/>
      <c r="K89" s="138"/>
      <c r="L89" s="139"/>
      <c r="M89" s="75"/>
      <c r="N89" s="76"/>
      <c r="O89" s="77"/>
      <c r="P89" s="137"/>
      <c r="Q89" s="138"/>
      <c r="R89" s="138"/>
      <c r="S89" s="138"/>
      <c r="T89" s="138"/>
      <c r="U89" s="138"/>
      <c r="V89" s="138"/>
      <c r="W89" s="138"/>
      <c r="X89" s="139"/>
      <c r="Y89" s="75"/>
      <c r="Z89" s="76"/>
      <c r="AA89" s="77"/>
      <c r="AB89" s="137"/>
      <c r="AC89" s="138"/>
      <c r="AD89" s="138"/>
      <c r="AE89" s="138"/>
      <c r="AF89" s="138"/>
      <c r="AG89" s="138"/>
      <c r="AH89" s="138"/>
      <c r="AI89" s="138"/>
      <c r="AJ89" s="139"/>
    </row>
    <row r="90" ht="18" customHeight="1" spans="1:36">
      <c r="A90" s="140" t="s">
        <v>131</v>
      </c>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c r="AA90" s="141"/>
      <c r="AB90" s="141"/>
      <c r="AC90" s="141"/>
      <c r="AD90" s="141"/>
      <c r="AE90" s="141"/>
      <c r="AF90" s="141"/>
      <c r="AG90" s="141"/>
      <c r="AH90" s="141"/>
      <c r="AI90" s="141"/>
      <c r="AJ90" s="141"/>
    </row>
    <row r="91" ht="18" customHeight="1" spans="1:36">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c r="AA91" s="141"/>
      <c r="AB91" s="141"/>
      <c r="AC91" s="141"/>
      <c r="AD91" s="141"/>
      <c r="AE91" s="141"/>
      <c r="AF91" s="141"/>
      <c r="AG91" s="141"/>
      <c r="AH91" s="141"/>
      <c r="AI91" s="141"/>
      <c r="AJ91" s="141"/>
    </row>
    <row r="92" ht="18" customHeight="1" spans="1:36">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c r="AA92" s="141"/>
      <c r="AB92" s="141"/>
      <c r="AC92" s="141"/>
      <c r="AD92" s="141"/>
      <c r="AE92" s="141"/>
      <c r="AF92" s="141"/>
      <c r="AG92" s="141"/>
      <c r="AH92" s="141"/>
      <c r="AI92" s="141"/>
      <c r="AJ92" s="141"/>
    </row>
    <row r="93" ht="22.5" customHeight="1" spans="1:36">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c r="AA93" s="141"/>
      <c r="AB93" s="141"/>
      <c r="AC93" s="141"/>
      <c r="AD93" s="141"/>
      <c r="AE93" s="141"/>
      <c r="AF93" s="141"/>
      <c r="AG93" s="141"/>
      <c r="AH93" s="141"/>
      <c r="AI93" s="141"/>
      <c r="AJ93" s="141"/>
    </row>
    <row r="94" ht="27.55" customHeight="1" spans="1:36">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c r="AA94" s="141"/>
      <c r="AB94" s="141"/>
      <c r="AC94" s="141"/>
      <c r="AD94" s="141"/>
      <c r="AE94" s="141"/>
      <c r="AF94" s="141"/>
      <c r="AG94" s="141"/>
      <c r="AH94" s="141"/>
      <c r="AI94" s="141"/>
      <c r="AJ94" s="141"/>
    </row>
    <row r="95" ht="18" customHeight="1"/>
    <row r="96" ht="18" customHeight="1"/>
    <row r="97" s="22" customFormat="1" ht="18" customHeight="1"/>
    <row r="98" s="22" customFormat="1" ht="18" customHeight="1"/>
    <row r="99" s="22" customFormat="1" ht="18" customHeight="1"/>
    <row r="100" s="22" customFormat="1" ht="18" customHeight="1"/>
    <row r="101" s="22" customFormat="1" ht="18" customHeight="1"/>
    <row r="102" s="22" customFormat="1" ht="18" customHeight="1"/>
  </sheetData>
  <sheetProtection algorithmName="SHA-512" hashValue="w40j/i8o7xcNr3iMOIUeVCsbNckzzkdZG+PKEtpzORf+z+yYbzPqESlBt3LbV5CmpGVuoYl5Pb1VifN22E7REA==" saltValue="xF+8g8Ma7RDVWTaawoFtPw==" spinCount="100000" sheet="1" formatCells="0" objects="1"/>
  <mergeCells count="211">
    <mergeCell ref="A1:H1"/>
    <mergeCell ref="I1:AE1"/>
    <mergeCell ref="AF1:AJ1"/>
    <mergeCell ref="A2:C2"/>
    <mergeCell ref="D2:R2"/>
    <mergeCell ref="S2:Y2"/>
    <mergeCell ref="Z2:AJ2"/>
    <mergeCell ref="A3:C3"/>
    <mergeCell ref="D3:R3"/>
    <mergeCell ref="S3:Y3"/>
    <mergeCell ref="Z3:AJ3"/>
    <mergeCell ref="A4:AJ4"/>
    <mergeCell ref="A5:C5"/>
    <mergeCell ref="D5:R5"/>
    <mergeCell ref="S5:Y5"/>
    <mergeCell ref="Z5:AJ5"/>
    <mergeCell ref="A6:C6"/>
    <mergeCell ref="D6:AJ6"/>
    <mergeCell ref="A7:AJ7"/>
    <mergeCell ref="A8:G8"/>
    <mergeCell ref="H8:AJ8"/>
    <mergeCell ref="A9:G9"/>
    <mergeCell ref="H9:AJ9"/>
    <mergeCell ref="A10:G10"/>
    <mergeCell ref="H10:R10"/>
    <mergeCell ref="S10:Y10"/>
    <mergeCell ref="Z10:AJ10"/>
    <mergeCell ref="A11:G11"/>
    <mergeCell ref="H11:AJ11"/>
    <mergeCell ref="A12:G12"/>
    <mergeCell ref="H12:R12"/>
    <mergeCell ref="S12:Y12"/>
    <mergeCell ref="Z12:AJ12"/>
    <mergeCell ref="A13:G13"/>
    <mergeCell ref="H13:R13"/>
    <mergeCell ref="S13:Y13"/>
    <mergeCell ref="Z13:AJ13"/>
    <mergeCell ref="A14:G14"/>
    <mergeCell ref="H14:R14"/>
    <mergeCell ref="S14:Y14"/>
    <mergeCell ref="Z14:AJ14"/>
    <mergeCell ref="A15:AJ15"/>
    <mergeCell ref="A16:G16"/>
    <mergeCell ref="H16:R16"/>
    <mergeCell ref="S16:Y16"/>
    <mergeCell ref="Z16:AJ16"/>
    <mergeCell ref="A17:G17"/>
    <mergeCell ref="H17:O17"/>
    <mergeCell ref="P17:AA17"/>
    <mergeCell ref="AB17:AJ17"/>
    <mergeCell ref="A18:G18"/>
    <mergeCell ref="H18:O18"/>
    <mergeCell ref="P18:AA18"/>
    <mergeCell ref="AB18:AJ18"/>
    <mergeCell ref="A19:AJ19"/>
    <mergeCell ref="C20:G20"/>
    <mergeCell ref="H20:AC20"/>
    <mergeCell ref="C21:G21"/>
    <mergeCell ref="H21:AC21"/>
    <mergeCell ref="C22:G22"/>
    <mergeCell ref="H22:AC22"/>
    <mergeCell ref="A23:G23"/>
    <mergeCell ref="H23:AC23"/>
    <mergeCell ref="A24:AJ24"/>
    <mergeCell ref="H25:AC25"/>
    <mergeCell ref="H26:AC26"/>
    <mergeCell ref="A27:G27"/>
    <mergeCell ref="H27:AC27"/>
    <mergeCell ref="A28:G28"/>
    <mergeCell ref="H28:AC28"/>
    <mergeCell ref="A29:G29"/>
    <mergeCell ref="H29:AC29"/>
    <mergeCell ref="A30:G30"/>
    <mergeCell ref="H30:AC30"/>
    <mergeCell ref="A31:G31"/>
    <mergeCell ref="H31:AC31"/>
    <mergeCell ref="AN31:AW31"/>
    <mergeCell ref="A32:G32"/>
    <mergeCell ref="H32:AC32"/>
    <mergeCell ref="A33:AJ33"/>
    <mergeCell ref="H34:AC34"/>
    <mergeCell ref="H35:AC35"/>
    <mergeCell ref="A36:G36"/>
    <mergeCell ref="H36:AC36"/>
    <mergeCell ref="A37:G37"/>
    <mergeCell ref="H37:AC37"/>
    <mergeCell ref="A38:G38"/>
    <mergeCell ref="H38:AC38"/>
    <mergeCell ref="A39:AJ39"/>
    <mergeCell ref="A40:G40"/>
    <mergeCell ref="H40:AC40"/>
    <mergeCell ref="C41:G41"/>
    <mergeCell ref="H41:AC41"/>
    <mergeCell ref="C42:G42"/>
    <mergeCell ref="H42:AC42"/>
    <mergeCell ref="C43:G43"/>
    <mergeCell ref="H43:AC43"/>
    <mergeCell ref="C44:G44"/>
    <mergeCell ref="H44:AC44"/>
    <mergeCell ref="C45:G45"/>
    <mergeCell ref="H45:AC45"/>
    <mergeCell ref="C46:G46"/>
    <mergeCell ref="H46:AC46"/>
    <mergeCell ref="A47:G47"/>
    <mergeCell ref="H47:AC47"/>
    <mergeCell ref="A48:G48"/>
    <mergeCell ref="H48:AC48"/>
    <mergeCell ref="A49:AJ49"/>
    <mergeCell ref="A50:G50"/>
    <mergeCell ref="H50:AC50"/>
    <mergeCell ref="A51:G51"/>
    <mergeCell ref="H51:AC51"/>
    <mergeCell ref="A52:G52"/>
    <mergeCell ref="H52:AC52"/>
    <mergeCell ref="A53:G53"/>
    <mergeCell ref="H53:AC53"/>
    <mergeCell ref="AW53:AY53"/>
    <mergeCell ref="A54:G54"/>
    <mergeCell ref="H54:AC54"/>
    <mergeCell ref="A55:G55"/>
    <mergeCell ref="H55:AC55"/>
    <mergeCell ref="C56:G56"/>
    <mergeCell ref="H56:S56"/>
    <mergeCell ref="C57:G57"/>
    <mergeCell ref="H57:S57"/>
    <mergeCell ref="C58:G58"/>
    <mergeCell ref="H58:S58"/>
    <mergeCell ref="C59:G59"/>
    <mergeCell ref="H59:S59"/>
    <mergeCell ref="A60:AJ60"/>
    <mergeCell ref="A61:G61"/>
    <mergeCell ref="H61:AC61"/>
    <mergeCell ref="C62:G62"/>
    <mergeCell ref="H62:AC62"/>
    <mergeCell ref="C63:G63"/>
    <mergeCell ref="H63:AC63"/>
    <mergeCell ref="C64:G64"/>
    <mergeCell ref="H64:AC64"/>
    <mergeCell ref="A65:G65"/>
    <mergeCell ref="H65:AC65"/>
    <mergeCell ref="A66:G66"/>
    <mergeCell ref="H66:S66"/>
    <mergeCell ref="T66:U66"/>
    <mergeCell ref="V66:Y66"/>
    <mergeCell ref="Z66:AA66"/>
    <mergeCell ref="AB66:AC66"/>
    <mergeCell ref="A67:G67"/>
    <mergeCell ref="H67:S67"/>
    <mergeCell ref="T67:U67"/>
    <mergeCell ref="V67:Y67"/>
    <mergeCell ref="Z67:AA67"/>
    <mergeCell ref="AB67:AC67"/>
    <mergeCell ref="A68:AJ68"/>
    <mergeCell ref="A69:G69"/>
    <mergeCell ref="H69:AC69"/>
    <mergeCell ref="A70:G70"/>
    <mergeCell ref="H70:O70"/>
    <mergeCell ref="P70:R70"/>
    <mergeCell ref="S70:AC70"/>
    <mergeCell ref="A71:G71"/>
    <mergeCell ref="H71:AC71"/>
    <mergeCell ref="A72:G72"/>
    <mergeCell ref="H72:AC72"/>
    <mergeCell ref="A73:G73"/>
    <mergeCell ref="H73:AC73"/>
    <mergeCell ref="A74:G74"/>
    <mergeCell ref="H74:AC74"/>
    <mergeCell ref="A75:G75"/>
    <mergeCell ref="H75:AC75"/>
    <mergeCell ref="A76:G76"/>
    <mergeCell ref="H76:AC76"/>
    <mergeCell ref="H77:AC77"/>
    <mergeCell ref="H78:AA78"/>
    <mergeCell ref="AB78:AC78"/>
    <mergeCell ref="A79:G79"/>
    <mergeCell ref="H79:AC79"/>
    <mergeCell ref="A80:G80"/>
    <mergeCell ref="H80:AC80"/>
    <mergeCell ref="C81:G81"/>
    <mergeCell ref="H81:AC81"/>
    <mergeCell ref="C82:G82"/>
    <mergeCell ref="H82:AC82"/>
    <mergeCell ref="A90:AJ94"/>
    <mergeCell ref="A81:B82"/>
    <mergeCell ref="A88:C89"/>
    <mergeCell ref="M88:O89"/>
    <mergeCell ref="Y88:AA89"/>
    <mergeCell ref="D88:L89"/>
    <mergeCell ref="P88:X89"/>
    <mergeCell ref="AB88:AJ89"/>
    <mergeCell ref="AD69:AJ82"/>
    <mergeCell ref="A83:C87"/>
    <mergeCell ref="D83:AJ87"/>
    <mergeCell ref="AL2:AX16"/>
    <mergeCell ref="A20:B22"/>
    <mergeCell ref="AD34:AJ38"/>
    <mergeCell ref="AD25:AJ32"/>
    <mergeCell ref="AD20:AJ23"/>
    <mergeCell ref="A77:G78"/>
    <mergeCell ref="AD61:AJ67"/>
    <mergeCell ref="V58:AC59"/>
    <mergeCell ref="T58:U59"/>
    <mergeCell ref="A58:B59"/>
    <mergeCell ref="A56:B57"/>
    <mergeCell ref="V56:AC57"/>
    <mergeCell ref="T56:U57"/>
    <mergeCell ref="AD50:AJ59"/>
    <mergeCell ref="AD40:AJ48"/>
    <mergeCell ref="A41:B46"/>
    <mergeCell ref="A34:G35"/>
    <mergeCell ref="A25:G26"/>
  </mergeCells>
  <dataValidations count="55">
    <dataValidation type="list" allowBlank="1" showInputMessage="1" showErrorMessage="1" sqref="D2:R2">
      <formula1>ku!$A$281:$A$290</formula1>
    </dataValidation>
    <dataValidation type="list" allowBlank="1" showInputMessage="1" showErrorMessage="1" sqref="Z3:AJ3">
      <formula1>ku!$A$381</formula1>
    </dataValidation>
    <dataValidation type="list" allowBlank="1" showInputMessage="1" showErrorMessage="1" sqref="H10:R10">
      <formula1>'Data Source'!$B$61:$B$62</formula1>
    </dataValidation>
    <dataValidation type="list" allowBlank="1" showInputMessage="1" showErrorMessage="1" sqref="AA10:AJ10">
      <formula1>ku!$A$337:$A$372</formula1>
    </dataValidation>
    <dataValidation type="list" allowBlank="1" showInputMessage="1" showErrorMessage="1" sqref="Z12:AJ12">
      <formula1>ku!$A$387:$A$389</formula1>
    </dataValidation>
    <dataValidation type="whole" operator="between" allowBlank="1" showInputMessage="1" showErrorMessage="1" sqref="Z16:AJ16">
      <formula1>2</formula1>
      <formula2>107</formula2>
    </dataValidation>
    <dataValidation type="list" allowBlank="1" showInputMessage="1" showErrorMessage="1" sqref="H20:AC20">
      <formula1>'Data Source'!$B$1:$B$4</formula1>
    </dataValidation>
    <dataValidation type="list" allowBlank="1" showErrorMessage="1" error="请选择列表中的选项！" sqref="H21">
      <formula1>'Data Source'!$B$6:$B$7</formula1>
    </dataValidation>
    <dataValidation type="list" allowBlank="1" showInputMessage="1" showErrorMessage="1" sqref="I21:AC21">
      <formula1>INDIRECT($H$20)</formula1>
    </dataValidation>
    <dataValidation type="list" allowBlank="1" error="请选择列表中的选项！" sqref="H22">
      <formula1>'Data Source'!$B$10:$I$10</formula1>
    </dataValidation>
    <dataValidation type="list" allowBlank="1" showInputMessage="1" showErrorMessage="1" sqref="H23:AC23">
      <formula1>ku!$A$24:$A$25</formula1>
    </dataValidation>
    <dataValidation type="list" allowBlank="1" showErrorMessage="1" error="请选择列表中的选项！" sqref="H25:AC25 H34:AC34">
      <formula1>'Data Source'!$B$14:$B$15</formula1>
    </dataValidation>
    <dataValidation allowBlank="1" showInputMessage="1" sqref="I26:AC26 I35:AC35"/>
    <dataValidation type="list" allowBlank="1" showInputMessage="1" showErrorMessage="1" sqref="H27:AC27 H36:AC36">
      <formula1>'Data Source'!$B$71:$B$73</formula1>
    </dataValidation>
    <dataValidation type="list" allowBlank="1" showInputMessage="1" sqref="I28:AC28" errorStyle="information">
      <formula1>INDIRECT($H$27)</formula1>
    </dataValidation>
    <dataValidation type="list" allowBlank="1" showInputMessage="1" showErrorMessage="1" sqref="H29:AC29">
      <formula1>ku!$A$53</formula1>
    </dataValidation>
    <dataValidation type="list" allowBlank="1" showInputMessage="1" showErrorMessage="1" sqref="H30:AC30">
      <formula1>ku!$E$47:$E$48</formula1>
    </dataValidation>
    <dataValidation type="list" allowBlank="1" showInputMessage="1" showErrorMessage="1" sqref="H31:AC31">
      <formula1>ku!$A$60:$A$61</formula1>
    </dataValidation>
    <dataValidation type="list" allowBlank="1" showInputMessage="1" showErrorMessage="1" sqref="H32:AC32">
      <formula1>ku!$A$72:$A$76</formula1>
    </dataValidation>
    <dataValidation allowBlank="1" showInputMessage="1" showErrorMessage="1" sqref="AD36 A63:B63 D63:AC63 AD65 G69 P70:S70 A77:AD77 AB78 A79:AD79 AD73:AD76 A70:G76 AL63:XFD65"/>
    <dataValidation type="list" allowBlank="1" showInputMessage="1" sqref="I37:AC37" errorStyle="information">
      <formula1>INDIRECT($H$36)</formula1>
    </dataValidation>
    <dataValidation type="list" allowBlank="1" showInputMessage="1" showErrorMessage="1" sqref="H38:AC38">
      <formula1>ku!$A$104:$A$107</formula1>
    </dataValidation>
    <dataValidation type="list" allowBlank="1" showInputMessage="1" showErrorMessage="1" sqref="H40:AC40">
      <formula1>ku!$A$112</formula1>
    </dataValidation>
    <dataValidation type="list" allowBlank="1" showInputMessage="1" showErrorMessage="1" sqref="H41:AC41">
      <formula1>ku!$E$117:$E$121</formula1>
    </dataValidation>
    <dataValidation type="list" allowBlank="1" showInputMessage="1" showErrorMessage="1" sqref="H42:AC42">
      <formula1>ku!$E$123:$E$127</formula1>
    </dataValidation>
    <dataValidation type="list" allowBlank="1" showInputMessage="1" showErrorMessage="1" sqref="H43:AC43">
      <formula1>ku!$E$129:$E$131</formula1>
    </dataValidation>
    <dataValidation type="list" allowBlank="1" showInputMessage="1" showErrorMessage="1" sqref="H44:AC44">
      <formula1>ku!$E$133:$E$135</formula1>
    </dataValidation>
    <dataValidation type="list" allowBlank="1" showInputMessage="1" showErrorMessage="1" sqref="H45:AC45">
      <formula1>ku!$E$137:$E$140</formula1>
    </dataValidation>
    <dataValidation type="list" allowBlank="1" showInputMessage="1" showErrorMessage="1" sqref="H46:AC46">
      <formula1>ku!$E$142:$E$144</formula1>
    </dataValidation>
    <dataValidation type="list" allowBlank="1" showInputMessage="1" showErrorMessage="1" sqref="H47:AC47">
      <formula1>'Data Source'!$B$64:$B$65</formula1>
    </dataValidation>
    <dataValidation type="list" allowBlank="1" showInputMessage="1" showErrorMessage="1" sqref="I48:AC48">
      <formula1>INDIRECT($H$47)</formula1>
    </dataValidation>
    <dataValidation type="list" allowBlank="1" showInputMessage="1" showErrorMessage="1" promptTitle="Prompt" prompt="One BCD encoder is required when ordering a controller." sqref="H50:AC50">
      <formula1>ku!$A$329:$A$332</formula1>
    </dataValidation>
    <dataValidation type="list" allowBlank="1" showInputMessage="1" showErrorMessage="1" sqref="H51:AC51">
      <formula1>ku!$B$329:$B$332</formula1>
    </dataValidation>
    <dataValidation type="list" allowBlank="1" showInputMessage="1" showErrorMessage="1" sqref="H52:AC52">
      <formula1>'Data Source'!$B$55:$B$56</formula1>
    </dataValidation>
    <dataValidation type="list" allowBlank="1" showInputMessage="1" showErrorMessage="1" sqref="H53:AC53">
      <formula1>ku!$C$329:$C$332</formula1>
    </dataValidation>
    <dataValidation type="list" allowBlank="1" showInputMessage="1" showErrorMessage="1" sqref="H54:AC54">
      <formula1>ku!$D$329:$D$332</formula1>
    </dataValidation>
    <dataValidation type="list" allowBlank="1" showInputMessage="1" showErrorMessage="1" sqref="H55:AC55">
      <formula1>'Data Source'!$D$27:$D$29</formula1>
    </dataValidation>
    <dataValidation type="list" allowBlank="1" showInputMessage="1" sqref="H56:S56 H58:S58" errorStyle="information">
      <formula1>ku!$B$195:$B$200</formula1>
    </dataValidation>
    <dataValidation type="list" allowBlank="1" showInputMessage="1" sqref="H57:S57 H59:S59" errorStyle="information">
      <formula1>ku!$H$195:$H$201</formula1>
    </dataValidation>
    <dataValidation type="list" allowBlank="1" showInputMessage="1" showErrorMessage="1" sqref="H61:AC61 I62:AC62">
      <formula1>ku!$B$205:$B$208</formula1>
    </dataValidation>
    <dataValidation type="list" allowBlank="1" showInputMessage="1" showErrorMessage="1" sqref="I64:AC64 H65:AC65">
      <formula1>'Data Source'!$B$52:$B$53</formula1>
    </dataValidation>
    <dataValidation type="list" allowBlank="1" showInputMessage="1" showErrorMessage="1" sqref="H69:AC69">
      <formula1>ku!$A$211:$A$212</formula1>
    </dataValidation>
    <dataValidation type="list" allowBlank="1" showInputMessage="1" showErrorMessage="1" sqref="H70:O70">
      <formula1>ku!$O$4:$O$10</formula1>
    </dataValidation>
    <dataValidation type="list" allowBlank="1" showInputMessage="1" showErrorMessage="1" sqref="H71:AC71">
      <formula1>ku!$A$302:$A$303</formula1>
    </dataValidation>
    <dataValidation type="list" allowBlank="1" showInputMessage="1" showErrorMessage="1" sqref="H72:AD72">
      <formula1>ku!$B$211:$B$212</formula1>
    </dataValidation>
    <dataValidation type="list" allowBlank="1" showInputMessage="1" showErrorMessage="1" sqref="H73:AC73">
      <formula1>ku!$A$219:$A$220</formula1>
    </dataValidation>
    <dataValidation type="list" allowBlank="1" showInputMessage="1" showErrorMessage="1" sqref="H74:AC74">
      <formula1>ku!$A$377:$A$379</formula1>
    </dataValidation>
    <dataValidation type="list" allowBlank="1" showInputMessage="1" sqref="H75:AC75" errorStyle="information">
      <formula1>ku!$A$244:$A$252</formula1>
    </dataValidation>
    <dataValidation type="list" allowBlank="1" showInputMessage="1" showErrorMessage="1" sqref="H76:AC76">
      <formula1>ku!$A$262:$A$266</formula1>
    </dataValidation>
    <dataValidation type="list" allowBlank="1" showInputMessage="1" showErrorMessage="1" sqref="G78">
      <formula1>ku!$A$234:$A$239</formula1>
    </dataValidation>
    <dataValidation type="list" allowBlank="1" showInputMessage="1" showErrorMessage="1" sqref="H78:AA78">
      <formula1>ku!$C$319:$C$322</formula1>
    </dataValidation>
    <dataValidation type="list" allowBlank="1" showInputMessage="1" showErrorMessage="1" sqref="H80:AC80">
      <formula1>ku!$A$273</formula1>
    </dataValidation>
    <dataValidation type="list" allowBlank="1" showInputMessage="1" sqref="H81:AC81" errorStyle="information">
      <formula1>ku!$A$309:$A$310</formula1>
    </dataValidation>
    <dataValidation type="list" allowBlank="1" showInputMessage="1" sqref="H82:AC82">
      <formula1>ku!$B$309:$B$310</formula1>
    </dataValidation>
    <dataValidation type="list" allowBlank="1" showInputMessage="1" showErrorMessage="1" sqref="V56:AC59">
      <formula1>ku!$I$195:$I$197</formula1>
    </dataValidation>
  </dataValidations>
  <pageMargins left="0.247916666666667" right="0.247916666666667" top="0.554861111111111" bottom="0.554861111111111" header="0.298611111111111" footer="0.298611111111111"/>
  <pageSetup paperSize="9" fitToHeight="3" orientation="portrait"/>
  <headerFooter/>
  <drawing r:id="rId2"/>
  <legacyDrawing r:id="rId3"/>
  <controls>
    <mc:AlternateContent xmlns:mc="http://schemas.openxmlformats.org/markup-compatibility/2006">
      <mc:Choice Requires="x14">
        <control shapeId="1117" r:id="rId4" name="ListBox1">
          <controlPr defaultSize="0" r:id="rId5" listFillRange="'Data Source'!B27:B32">
            <anchor moveWithCells="1">
              <from>
                <xdr:col>6</xdr:col>
                <xdr:colOff>201295</xdr:colOff>
                <xdr:row>77</xdr:row>
                <xdr:rowOff>43180</xdr:rowOff>
              </from>
              <to>
                <xdr:col>28</xdr:col>
                <xdr:colOff>56515</xdr:colOff>
                <xdr:row>83</xdr:row>
                <xdr:rowOff>34925</xdr:rowOff>
              </to>
            </anchor>
          </controlPr>
        </control>
      </mc:Choice>
      <mc:Fallback>
        <control shapeId="1117" r:id="rId4" name="ListBox1"/>
      </mc:Fallback>
    </mc:AlternateContent>
    <mc:AlternateContent xmlns:mc="http://schemas.openxmlformats.org/markup-compatibility/2006">
      <mc:Choice Requires="x14">
        <control shapeId="1140" r:id="rId6" name="ListBox2">
          <controlPr defaultSize="0" r:id="rId7" listFillRange="'Data Source'!B44:B49">
            <anchor moveWithCells="1">
              <from>
                <xdr:col>6</xdr:col>
                <xdr:colOff>217170</xdr:colOff>
                <xdr:row>67</xdr:row>
                <xdr:rowOff>10795</xdr:rowOff>
              </from>
              <to>
                <xdr:col>19</xdr:col>
                <xdr:colOff>10795</xdr:colOff>
                <xdr:row>69</xdr:row>
                <xdr:rowOff>130175</xdr:rowOff>
              </to>
            </anchor>
          </controlPr>
        </control>
      </mc:Choice>
      <mc:Fallback>
        <control shapeId="1140" r:id="rId6" name="ListBox2"/>
      </mc:Fallback>
    </mc:AlternateContent>
    <mc:AlternateContent xmlns:mc="http://schemas.openxmlformats.org/markup-compatibility/2006">
      <mc:Choice Requires="x14">
        <control shapeId="1172" r:id="rId8" name="ListBox3">
          <controlPr defaultSize="0" r:id="rId5" listFillRange="'Data Source'!B36:B41">
            <anchor moveWithCells="1">
              <from>
                <xdr:col>6</xdr:col>
                <xdr:colOff>201295</xdr:colOff>
                <xdr:row>79</xdr:row>
                <xdr:rowOff>64770</xdr:rowOff>
              </from>
              <to>
                <xdr:col>28</xdr:col>
                <xdr:colOff>56515</xdr:colOff>
                <xdr:row>85</xdr:row>
                <xdr:rowOff>108585</xdr:rowOff>
              </to>
            </anchor>
          </controlPr>
        </control>
      </mc:Choice>
      <mc:Fallback>
        <control shapeId="1172" r:id="rId8" name="ListBox3"/>
      </mc:Fallback>
    </mc:AlternateContent>
    <mc:AlternateContent xmlns:mc="http://schemas.openxmlformats.org/markup-compatibility/2006">
      <mc:Choice Requires="x14">
        <control shapeId="1177" r:id="rId9" name="CommandButton1">
          <controlPr defaultSize="0" r:id="rId10">
            <anchor moveWithCells="1">
              <from>
                <xdr:col>37</xdr:col>
                <xdr:colOff>26670</xdr:colOff>
                <xdr:row>0</xdr:row>
                <xdr:rowOff>125095</xdr:rowOff>
              </from>
              <to>
                <xdr:col>38</xdr:col>
                <xdr:colOff>369570</xdr:colOff>
                <xdr:row>0</xdr:row>
                <xdr:rowOff>571500</xdr:rowOff>
              </to>
            </anchor>
          </controlPr>
        </control>
      </mc:Choice>
      <mc:Fallback>
        <control shapeId="1177" r:id="rId9" name="CommandButton1"/>
      </mc:Fallback>
    </mc:AlternateContent>
    <mc:AlternateContent xmlns:mc="http://schemas.openxmlformats.org/markup-compatibility/2006">
      <mc:Choice Requires="x14">
        <control shapeId="4098" r:id="rId11" name="CommandButton2">
          <controlPr defaultSize="0" r:id="rId12">
            <anchor moveWithCells="1">
              <from>
                <xdr:col>38</xdr:col>
                <xdr:colOff>538480</xdr:colOff>
                <xdr:row>0</xdr:row>
                <xdr:rowOff>125095</xdr:rowOff>
              </from>
              <to>
                <xdr:col>44</xdr:col>
                <xdr:colOff>146685</xdr:colOff>
                <xdr:row>0</xdr:row>
                <xdr:rowOff>571500</xdr:rowOff>
              </to>
            </anchor>
          </controlPr>
        </control>
      </mc:Choice>
      <mc:Fallback>
        <control shapeId="4098" r:id="rId11"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J389"/>
  <sheetViews>
    <sheetView topLeftCell="A88" workbookViewId="0">
      <selection activeCell="A114" sqref="A114"/>
    </sheetView>
  </sheetViews>
  <sheetFormatPr defaultColWidth="9" defaultRowHeight="14.1"/>
  <cols>
    <col min="1" max="1" width="51" customWidth="1"/>
    <col min="2" max="2" width="24.4594594594595" customWidth="1"/>
    <col min="3" max="3" width="22.3783783783784" customWidth="1"/>
    <col min="5" max="5" width="27.5315315315315" customWidth="1"/>
    <col min="8" max="8" width="11.8468468468468" customWidth="1"/>
    <col min="15" max="15" width="30.1531531531532" customWidth="1"/>
    <col min="16" max="16" width="43.0720720720721" customWidth="1"/>
    <col min="19" max="19" width="22.3783783783784" customWidth="1"/>
    <col min="20" max="20" width="29.8468468468468" customWidth="1"/>
  </cols>
  <sheetData>
    <row r="1" ht="90" customHeight="1" spans="1:36">
      <c r="A1" s="12" t="s">
        <v>132</v>
      </c>
      <c r="F1" s="13"/>
      <c r="G1" s="13"/>
      <c r="H1" s="13"/>
      <c r="I1" s="13"/>
      <c r="J1" s="13"/>
      <c r="K1" s="13"/>
      <c r="L1" s="13"/>
      <c r="M1" s="11"/>
      <c r="S1" t="s">
        <v>107</v>
      </c>
    </row>
    <row r="2" ht="90" customHeight="1" spans="1:36">
      <c r="A2" t="s">
        <v>133</v>
      </c>
      <c r="D2" s="4"/>
      <c r="E2" s="4"/>
      <c r="F2" s="14"/>
      <c r="G2" s="14"/>
      <c r="H2" s="14"/>
      <c r="I2" s="14"/>
      <c r="J2" s="14"/>
      <c r="K2" s="14"/>
      <c r="L2" s="14"/>
      <c r="M2" s="15"/>
      <c r="N2" s="4"/>
      <c r="O2" s="4"/>
      <c r="P2" s="4"/>
      <c r="Q2" s="4"/>
      <c r="R2" s="4"/>
      <c r="S2" t="s">
        <v>134</v>
      </c>
      <c r="Z2" s="4"/>
      <c r="AA2" s="4"/>
      <c r="AB2" s="4"/>
      <c r="AC2" s="4"/>
      <c r="AD2" s="4"/>
      <c r="AE2" s="4"/>
      <c r="AF2" s="4"/>
      <c r="AG2" s="4"/>
      <c r="AH2" s="4"/>
      <c r="AI2" s="4"/>
      <c r="AJ2" s="4"/>
    </row>
    <row r="3" ht="90" customHeight="1" spans="1:36">
      <c r="A3" t="s">
        <v>135</v>
      </c>
      <c r="D3" s="4"/>
      <c r="E3" s="4"/>
      <c r="F3" s="14"/>
      <c r="G3" s="14"/>
      <c r="H3" s="14"/>
      <c r="I3" s="14"/>
      <c r="J3" s="14"/>
      <c r="K3" s="14"/>
      <c r="L3" s="15"/>
      <c r="M3" s="4"/>
      <c r="N3" s="4"/>
      <c r="O3" s="4" t="s">
        <v>136</v>
      </c>
      <c r="P3" s="4"/>
      <c r="Q3" s="4"/>
      <c r="R3" s="4"/>
      <c r="S3" s="10" t="s">
        <v>137</v>
      </c>
      <c r="Z3" s="4"/>
      <c r="AA3" s="4"/>
      <c r="AB3" s="4"/>
      <c r="AC3" s="4"/>
      <c r="AD3" s="4"/>
      <c r="AE3" s="4"/>
      <c r="AF3" s="4"/>
      <c r="AG3" s="4"/>
      <c r="AH3" s="4"/>
      <c r="AI3" s="4"/>
      <c r="AJ3" s="4"/>
    </row>
    <row r="4" ht="90" customHeight="1" spans="1:36">
      <c r="A4" t="s">
        <v>138</v>
      </c>
      <c r="F4" s="13"/>
      <c r="G4" s="13"/>
      <c r="H4" s="13"/>
      <c r="O4" t="s">
        <v>107</v>
      </c>
      <c r="Q4">
        <v>0</v>
      </c>
    </row>
    <row r="5" ht="90" customHeight="1" spans="1:36">
      <c r="A5" t="s">
        <v>139</v>
      </c>
      <c r="D5" s="4"/>
      <c r="E5" s="14"/>
      <c r="F5" s="14"/>
      <c r="G5" s="14"/>
      <c r="H5" s="4"/>
      <c r="I5" s="4"/>
      <c r="J5" s="4"/>
      <c r="K5" s="4"/>
      <c r="L5" s="4"/>
      <c r="M5" s="4"/>
      <c r="N5" s="4"/>
      <c r="O5" t="s">
        <v>134</v>
      </c>
      <c r="P5" s="4"/>
      <c r="Q5" s="4">
        <v>0</v>
      </c>
      <c r="R5" s="4"/>
      <c r="V5" s="4"/>
      <c r="W5" s="4"/>
      <c r="X5" s="4"/>
      <c r="Y5" s="4"/>
      <c r="Z5" s="4"/>
      <c r="AA5" s="4"/>
      <c r="AB5" s="4"/>
      <c r="AC5" s="4"/>
      <c r="AD5" s="4"/>
      <c r="AE5" s="4"/>
      <c r="AF5" s="4"/>
      <c r="AG5" s="4"/>
      <c r="AH5" s="4"/>
      <c r="AI5" s="4"/>
      <c r="AJ5" s="4"/>
    </row>
    <row r="6" ht="90" customHeight="1" spans="1:36">
      <c r="D6" s="4"/>
      <c r="E6" s="14"/>
      <c r="F6" s="14"/>
      <c r="G6" s="14"/>
      <c r="H6" s="4"/>
      <c r="I6" s="4"/>
      <c r="J6" s="4"/>
      <c r="K6" s="4"/>
      <c r="L6" s="4"/>
      <c r="M6" s="4"/>
      <c r="N6" s="4"/>
      <c r="O6" t="s">
        <v>137</v>
      </c>
      <c r="P6" s="4"/>
      <c r="Q6" s="4">
        <v>500</v>
      </c>
      <c r="R6" s="4"/>
      <c r="S6" s="4"/>
      <c r="T6" s="4"/>
      <c r="U6" s="4"/>
      <c r="V6" s="4"/>
      <c r="W6" s="4"/>
      <c r="X6" s="4"/>
      <c r="Y6" s="4"/>
      <c r="Z6" s="4"/>
      <c r="AA6" s="4"/>
      <c r="AB6" s="4"/>
      <c r="AC6" s="4"/>
      <c r="AD6" s="4"/>
      <c r="AE6" s="4"/>
      <c r="AF6" s="4"/>
      <c r="AG6" s="4"/>
      <c r="AH6" s="4"/>
      <c r="AI6" s="4"/>
      <c r="AJ6" s="4"/>
    </row>
    <row r="7" ht="90" customHeight="1" spans="1:36">
      <c r="A7" s="12" t="s">
        <v>140</v>
      </c>
      <c r="E7" s="13"/>
      <c r="F7" s="13"/>
      <c r="G7" s="13"/>
      <c r="O7" t="s">
        <v>141</v>
      </c>
    </row>
    <row r="8" ht="90" customHeight="1" spans="1:36">
      <c r="A8" t="s">
        <v>133</v>
      </c>
      <c r="B8" t="s">
        <v>142</v>
      </c>
      <c r="C8" t="s">
        <v>143</v>
      </c>
      <c r="D8" s="4"/>
      <c r="E8" s="14"/>
      <c r="F8" s="14"/>
      <c r="G8" s="14"/>
      <c r="H8" s="4"/>
      <c r="I8" s="4"/>
      <c r="J8" s="4"/>
      <c r="K8" s="4"/>
      <c r="L8" s="4"/>
      <c r="M8" s="4"/>
      <c r="N8" s="4"/>
      <c r="O8" t="s">
        <v>144</v>
      </c>
      <c r="P8" s="4"/>
      <c r="Q8" s="4"/>
      <c r="R8" s="4"/>
      <c r="S8" s="4"/>
      <c r="T8" s="4"/>
      <c r="U8" s="4"/>
      <c r="V8" s="4"/>
      <c r="W8" s="4"/>
      <c r="X8" s="4"/>
      <c r="Y8" s="4"/>
      <c r="Z8" s="4"/>
      <c r="AA8" s="4"/>
      <c r="AB8" s="4"/>
      <c r="AC8" s="4"/>
      <c r="AD8" s="4"/>
      <c r="AE8" s="4"/>
      <c r="AF8" s="4"/>
      <c r="AG8" s="4"/>
      <c r="AH8" s="4"/>
      <c r="AI8" s="4"/>
      <c r="AJ8" s="4"/>
    </row>
    <row r="9" ht="90" customHeight="1" spans="1:36">
      <c r="A9" t="s">
        <v>135</v>
      </c>
      <c r="B9" t="s">
        <v>142</v>
      </c>
      <c r="C9" t="s">
        <v>143</v>
      </c>
      <c r="D9" s="4"/>
      <c r="E9" s="14"/>
      <c r="F9" s="14"/>
      <c r="G9" s="14"/>
      <c r="H9" s="4"/>
      <c r="I9" s="4"/>
      <c r="J9" s="4"/>
      <c r="K9" s="4"/>
      <c r="L9" s="4"/>
      <c r="M9" s="4"/>
      <c r="N9" s="4"/>
      <c r="O9" t="s">
        <v>145</v>
      </c>
      <c r="P9" s="4"/>
      <c r="Q9" s="4"/>
      <c r="R9" s="4"/>
      <c r="S9" s="4"/>
      <c r="T9" s="4"/>
      <c r="U9" s="4"/>
      <c r="V9" s="4"/>
      <c r="W9" s="4"/>
      <c r="X9" s="4"/>
      <c r="Y9" s="4"/>
      <c r="Z9" s="4"/>
      <c r="AA9" s="4"/>
      <c r="AB9" s="4"/>
      <c r="AC9" s="4"/>
      <c r="AD9" s="4"/>
      <c r="AE9" s="4"/>
      <c r="AF9" s="4"/>
      <c r="AG9" s="4"/>
      <c r="AH9" s="4"/>
      <c r="AI9" s="4"/>
      <c r="AJ9" s="4"/>
    </row>
    <row r="10" spans="1:36">
      <c r="A10" t="s">
        <v>138</v>
      </c>
      <c r="B10" t="s">
        <v>142</v>
      </c>
      <c r="C10" t="s">
        <v>143</v>
      </c>
      <c r="D10" s="4"/>
      <c r="E10" s="14"/>
      <c r="F10" s="14"/>
      <c r="G10" s="14"/>
      <c r="H10" s="4"/>
      <c r="I10" s="4"/>
      <c r="J10" s="4"/>
      <c r="K10" s="4"/>
      <c r="L10" s="4"/>
      <c r="M10" s="4"/>
      <c r="N10" s="4"/>
      <c r="O10" t="s">
        <v>146</v>
      </c>
      <c r="P10" s="4"/>
      <c r="Q10" s="4"/>
      <c r="R10" s="4"/>
      <c r="Z10" s="4"/>
      <c r="AA10" s="4"/>
      <c r="AB10" s="4"/>
      <c r="AC10" s="4"/>
      <c r="AD10" s="4"/>
      <c r="AE10" s="4"/>
      <c r="AF10" s="4"/>
      <c r="AG10" s="4"/>
      <c r="AH10" s="4"/>
      <c r="AI10" s="4"/>
      <c r="AJ10" s="4"/>
    </row>
    <row r="11" spans="1:36">
      <c r="A11" t="s">
        <v>139</v>
      </c>
      <c r="B11" t="s">
        <v>147</v>
      </c>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row>
    <row r="12" spans="1:36">
      <c r="D12" s="4"/>
      <c r="E12" s="4"/>
      <c r="F12" s="4"/>
      <c r="G12" s="4"/>
      <c r="H12" s="4"/>
      <c r="I12" s="4"/>
      <c r="J12" s="4"/>
      <c r="K12" s="4"/>
      <c r="L12" s="4"/>
      <c r="M12" s="4"/>
      <c r="N12" s="4"/>
      <c r="O12" s="4"/>
      <c r="P12" s="4"/>
      <c r="Q12" s="4"/>
      <c r="R12" s="4"/>
      <c r="Z12" s="4"/>
      <c r="AA12" s="4"/>
      <c r="AB12" s="4"/>
      <c r="AC12" s="4"/>
      <c r="AD12" s="4"/>
      <c r="AE12" s="4"/>
      <c r="AF12" s="4"/>
      <c r="AG12" s="4"/>
      <c r="AH12" s="4"/>
      <c r="AI12" s="4"/>
      <c r="AJ12" s="4"/>
    </row>
    <row r="13" spans="1:36">
      <c r="A13" s="12" t="s">
        <v>148</v>
      </c>
      <c r="D13" s="4"/>
      <c r="E13" s="4"/>
      <c r="F13" s="4"/>
      <c r="G13" s="4"/>
      <c r="H13" s="4"/>
      <c r="I13" s="4"/>
      <c r="J13" s="4"/>
      <c r="K13" s="4"/>
      <c r="L13" s="4"/>
      <c r="M13" s="4"/>
      <c r="N13" s="4"/>
      <c r="O13" s="4"/>
      <c r="P13" s="4"/>
      <c r="Q13" s="4"/>
      <c r="R13" s="4"/>
      <c r="Z13" s="4"/>
      <c r="AA13" s="4"/>
      <c r="AB13" s="4"/>
      <c r="AC13" s="4"/>
      <c r="AD13" s="4"/>
      <c r="AE13" s="4"/>
      <c r="AF13" s="4"/>
      <c r="AG13" s="4"/>
      <c r="AH13" s="4"/>
      <c r="AI13" s="4"/>
      <c r="AJ13" s="4"/>
    </row>
    <row r="14" spans="1:36">
      <c r="A14" t="s">
        <v>149</v>
      </c>
      <c r="B14" s="13">
        <v>208</v>
      </c>
      <c r="C14" s="13">
        <v>220</v>
      </c>
      <c r="D14" s="14">
        <v>380</v>
      </c>
      <c r="E14" s="14">
        <v>400</v>
      </c>
      <c r="F14" s="14">
        <v>415</v>
      </c>
      <c r="G14" s="14">
        <v>440</v>
      </c>
      <c r="H14" s="14">
        <v>480</v>
      </c>
      <c r="I14" s="15" t="s">
        <v>150</v>
      </c>
      <c r="J14" s="15"/>
      <c r="K14" s="4"/>
      <c r="L14" s="4"/>
      <c r="M14" s="4"/>
      <c r="N14" s="4"/>
      <c r="O14" s="4"/>
      <c r="P14" s="4"/>
      <c r="Q14" s="4"/>
      <c r="R14" s="4"/>
      <c r="Z14" s="4"/>
      <c r="AA14" s="4"/>
      <c r="AB14" s="4"/>
      <c r="AC14" s="4"/>
      <c r="AD14" s="4"/>
      <c r="AE14" s="4"/>
      <c r="AF14" s="4"/>
      <c r="AG14" s="4"/>
      <c r="AH14" s="4"/>
      <c r="AI14" s="4"/>
      <c r="AJ14" s="4"/>
    </row>
    <row r="15" spans="1:36">
      <c r="A15" t="s">
        <v>151</v>
      </c>
      <c r="B15" s="13">
        <v>208</v>
      </c>
      <c r="C15" s="13">
        <v>220</v>
      </c>
      <c r="D15" s="13">
        <v>380</v>
      </c>
      <c r="E15" s="13">
        <v>400</v>
      </c>
      <c r="F15" s="13">
        <v>415</v>
      </c>
      <c r="G15" s="13">
        <v>440</v>
      </c>
      <c r="H15" s="13">
        <v>480</v>
      </c>
      <c r="I15" s="11" t="s">
        <v>150</v>
      </c>
      <c r="J15" s="11"/>
    </row>
    <row r="16" spans="1:36">
      <c r="A16" t="s">
        <v>152</v>
      </c>
      <c r="B16" s="13">
        <v>208</v>
      </c>
      <c r="C16" s="13">
        <v>220</v>
      </c>
      <c r="D16" s="14">
        <v>380</v>
      </c>
      <c r="E16" s="14">
        <v>400</v>
      </c>
      <c r="F16" s="14">
        <v>415</v>
      </c>
      <c r="G16" s="14">
        <v>440</v>
      </c>
      <c r="H16" s="14">
        <v>480</v>
      </c>
      <c r="I16" s="15" t="s">
        <v>150</v>
      </c>
      <c r="J16" s="15"/>
      <c r="K16" s="4"/>
      <c r="L16" s="4"/>
      <c r="M16" s="4"/>
      <c r="N16" s="4"/>
      <c r="O16" s="4"/>
      <c r="P16" s="4"/>
      <c r="Q16" s="4"/>
      <c r="R16" s="4"/>
      <c r="Z16" s="4"/>
      <c r="AA16" s="4"/>
      <c r="AB16" s="4"/>
      <c r="AC16" s="4"/>
      <c r="AD16" s="4"/>
      <c r="AE16" s="4"/>
      <c r="AF16" s="4"/>
      <c r="AG16" s="4"/>
      <c r="AH16" s="4"/>
      <c r="AI16" s="4"/>
      <c r="AJ16" s="4"/>
    </row>
    <row r="17" spans="1:36">
      <c r="A17" t="s">
        <v>153</v>
      </c>
      <c r="B17" s="13">
        <v>208</v>
      </c>
      <c r="C17" s="13">
        <v>220</v>
      </c>
      <c r="D17" s="14">
        <v>380</v>
      </c>
      <c r="E17" s="14">
        <v>400</v>
      </c>
      <c r="F17" s="14">
        <v>415</v>
      </c>
      <c r="G17" s="14">
        <v>440</v>
      </c>
      <c r="H17" s="14">
        <v>480</v>
      </c>
      <c r="I17" s="15" t="s">
        <v>150</v>
      </c>
      <c r="J17" s="15"/>
      <c r="K17" s="4"/>
      <c r="L17" s="4"/>
      <c r="M17" s="4"/>
      <c r="N17" s="4"/>
      <c r="O17" s="4"/>
      <c r="P17" s="4"/>
      <c r="Q17" s="4"/>
      <c r="R17" s="4"/>
      <c r="S17" s="4"/>
      <c r="T17" s="4"/>
      <c r="U17" s="4"/>
      <c r="V17" s="4"/>
      <c r="W17" s="4"/>
      <c r="X17" s="4"/>
      <c r="Y17" s="4"/>
      <c r="Z17" s="4"/>
      <c r="AA17" s="4"/>
      <c r="AB17" s="4"/>
      <c r="AC17" s="4"/>
      <c r="AD17" s="4"/>
      <c r="AE17" s="4"/>
      <c r="AF17" s="4"/>
      <c r="AG17" s="4"/>
      <c r="AH17" s="4"/>
      <c r="AI17" s="4"/>
      <c r="AJ17" s="4"/>
    </row>
    <row r="18" spans="1:36">
      <c r="A18" t="s">
        <v>154</v>
      </c>
      <c r="B18" s="13">
        <v>120</v>
      </c>
      <c r="C18" s="13">
        <v>208</v>
      </c>
      <c r="D18" s="13">
        <v>220</v>
      </c>
      <c r="E18" s="13">
        <v>230</v>
      </c>
      <c r="F18" s="13">
        <v>240</v>
      </c>
      <c r="G18" s="13">
        <v>240</v>
      </c>
      <c r="H18" s="11" t="s">
        <v>150</v>
      </c>
    </row>
    <row r="19" spans="1:36">
      <c r="A19" t="s">
        <v>155</v>
      </c>
      <c r="B19" s="13">
        <v>120</v>
      </c>
      <c r="C19" s="13">
        <v>208</v>
      </c>
      <c r="D19" s="13">
        <v>220</v>
      </c>
      <c r="E19" s="13">
        <v>230</v>
      </c>
      <c r="F19" s="13">
        <v>240</v>
      </c>
      <c r="G19" s="13">
        <v>240</v>
      </c>
      <c r="H19" s="11" t="s">
        <v>150</v>
      </c>
    </row>
    <row r="20" spans="1:36">
      <c r="A20" t="s">
        <v>156</v>
      </c>
      <c r="B20" s="13">
        <v>110</v>
      </c>
      <c r="C20" s="13">
        <v>125</v>
      </c>
      <c r="D20" s="13">
        <v>220</v>
      </c>
      <c r="H20" s="4"/>
      <c r="I20" s="4"/>
      <c r="J20" s="4"/>
      <c r="K20" s="4"/>
      <c r="L20" s="4"/>
      <c r="M20" s="4"/>
      <c r="N20" s="4"/>
      <c r="O20" s="4"/>
      <c r="P20" s="4"/>
      <c r="Q20" s="4"/>
      <c r="R20" s="4"/>
      <c r="S20" s="4"/>
      <c r="T20" s="4"/>
      <c r="U20" s="4"/>
      <c r="V20" s="4"/>
      <c r="W20" s="4"/>
      <c r="X20" s="4"/>
      <c r="Y20" s="4"/>
      <c r="Z20" s="4"/>
      <c r="AA20" s="4"/>
      <c r="AB20" s="4"/>
      <c r="AC20" s="4"/>
    </row>
    <row r="21" spans="1:36">
      <c r="H21" s="4"/>
      <c r="I21" s="4"/>
      <c r="J21" s="4"/>
      <c r="K21" s="4"/>
      <c r="L21" s="4"/>
      <c r="M21" s="4"/>
      <c r="N21" s="4"/>
      <c r="O21" s="4"/>
      <c r="P21" s="4"/>
      <c r="Q21" s="4"/>
      <c r="R21" s="4"/>
      <c r="S21" s="4"/>
      <c r="T21" s="4"/>
      <c r="U21" s="4"/>
      <c r="V21" s="4"/>
      <c r="W21" s="4"/>
      <c r="X21" s="4"/>
      <c r="Y21" s="4"/>
      <c r="Z21" s="4"/>
      <c r="AA21" s="4"/>
      <c r="AB21" s="4"/>
      <c r="AC21" s="4"/>
    </row>
    <row r="22" spans="1:36">
      <c r="H22" s="4"/>
      <c r="I22" s="4"/>
      <c r="J22" s="4"/>
      <c r="K22" s="4"/>
      <c r="L22" s="4"/>
      <c r="M22" s="4"/>
      <c r="N22" s="4"/>
      <c r="O22" s="4"/>
      <c r="P22" s="4"/>
      <c r="Q22" s="4"/>
      <c r="R22" s="4"/>
      <c r="S22" s="4"/>
      <c r="T22" s="4"/>
      <c r="U22" s="4"/>
      <c r="V22" s="4"/>
      <c r="W22" s="4"/>
      <c r="X22" s="4"/>
      <c r="Y22" s="4"/>
      <c r="Z22" s="4"/>
      <c r="AA22" s="4"/>
      <c r="AB22" s="4"/>
      <c r="AC22" s="4"/>
    </row>
    <row r="23" spans="1:36">
      <c r="A23" t="s">
        <v>157</v>
      </c>
      <c r="B23" t="s">
        <v>158</v>
      </c>
      <c r="H23" s="4"/>
      <c r="I23" s="4"/>
      <c r="J23" s="4"/>
      <c r="K23" s="4"/>
      <c r="L23" s="4"/>
      <c r="M23" s="4"/>
      <c r="N23" s="4"/>
      <c r="O23" s="4"/>
      <c r="P23" s="4"/>
      <c r="Q23" s="4"/>
      <c r="R23" s="4"/>
      <c r="S23" s="4"/>
      <c r="T23" s="4"/>
      <c r="U23" s="4"/>
      <c r="V23" s="4"/>
      <c r="W23" s="4"/>
      <c r="X23" s="4"/>
      <c r="Y23" s="4"/>
      <c r="Z23" s="4"/>
      <c r="AA23" s="4"/>
      <c r="AB23" s="4"/>
      <c r="AC23" s="4"/>
    </row>
    <row r="24" spans="1:36">
      <c r="A24" t="s">
        <v>44</v>
      </c>
      <c r="B24">
        <v>0</v>
      </c>
    </row>
    <row r="25" spans="1:36">
      <c r="A25" t="s">
        <v>159</v>
      </c>
      <c r="B25">
        <v>1500</v>
      </c>
      <c r="H25" s="4"/>
      <c r="I25" s="4"/>
      <c r="J25" s="4"/>
      <c r="K25" s="4"/>
      <c r="L25" s="4"/>
      <c r="M25" s="4"/>
      <c r="N25" s="4"/>
      <c r="O25" s="4"/>
      <c r="P25" s="4"/>
      <c r="Q25" s="4"/>
      <c r="R25" s="4"/>
      <c r="S25" s="4"/>
      <c r="T25" s="4"/>
      <c r="U25" s="4"/>
      <c r="V25" s="4"/>
      <c r="W25" s="4"/>
      <c r="X25" s="4"/>
      <c r="Y25" s="4"/>
      <c r="Z25" s="4"/>
      <c r="AA25" s="4"/>
      <c r="AB25" s="4"/>
      <c r="AC25" s="4"/>
    </row>
    <row r="26" spans="1:36">
      <c r="H26" s="4"/>
      <c r="I26" s="4"/>
      <c r="J26" s="4"/>
      <c r="K26" s="4"/>
      <c r="L26" s="4"/>
      <c r="M26" s="4"/>
      <c r="N26" s="4"/>
      <c r="O26" s="4"/>
      <c r="P26" s="4"/>
      <c r="Q26" s="4"/>
      <c r="R26" s="4"/>
      <c r="S26" s="4"/>
      <c r="T26" s="4"/>
      <c r="U26" s="4"/>
      <c r="V26" s="4"/>
      <c r="W26" s="4"/>
      <c r="X26" s="4"/>
      <c r="Y26" s="4"/>
      <c r="Z26" s="4"/>
      <c r="AA26" s="4"/>
      <c r="AB26" s="4"/>
      <c r="AC26" s="4"/>
    </row>
    <row r="27" spans="1:36">
      <c r="H27" s="4"/>
      <c r="I27" s="4"/>
      <c r="J27" s="4"/>
      <c r="K27" s="4"/>
      <c r="L27" s="4"/>
      <c r="M27" s="4"/>
      <c r="N27" s="4"/>
      <c r="O27" s="4"/>
      <c r="P27" s="4"/>
      <c r="Q27" s="4"/>
      <c r="R27" s="4"/>
      <c r="S27" s="4"/>
      <c r="T27" s="4"/>
      <c r="U27" s="4"/>
      <c r="V27" s="4"/>
      <c r="W27" s="4"/>
      <c r="X27" s="4"/>
      <c r="Y27" s="4"/>
      <c r="Z27" s="4"/>
      <c r="AA27" s="4"/>
      <c r="AB27" s="4"/>
      <c r="AC27" s="4"/>
    </row>
    <row r="28" spans="1:36">
      <c r="A28" t="s">
        <v>160</v>
      </c>
      <c r="H28" s="4"/>
      <c r="I28" s="4"/>
      <c r="J28" s="4"/>
      <c r="K28" s="4"/>
      <c r="L28" s="4"/>
      <c r="M28" s="4"/>
      <c r="N28" s="4"/>
      <c r="O28" s="4"/>
      <c r="P28" s="4"/>
      <c r="Q28" s="4"/>
      <c r="R28" s="4"/>
      <c r="S28" s="4"/>
      <c r="T28" s="4"/>
      <c r="U28" s="4"/>
      <c r="V28" s="4"/>
      <c r="W28" s="4"/>
      <c r="X28" s="4"/>
      <c r="Y28" s="4"/>
      <c r="Z28" s="4"/>
      <c r="AA28" s="4"/>
      <c r="AB28" s="4"/>
      <c r="AC28" s="4"/>
    </row>
    <row r="29" spans="1:36">
      <c r="A29" t="s">
        <v>161</v>
      </c>
      <c r="H29" s="4"/>
      <c r="I29" s="4"/>
      <c r="J29" s="4"/>
      <c r="K29" s="4"/>
      <c r="L29" s="4"/>
      <c r="M29" s="4"/>
      <c r="N29" s="4"/>
      <c r="O29" s="4"/>
      <c r="P29" s="4"/>
      <c r="Q29" s="4"/>
      <c r="R29" s="4"/>
      <c r="S29" s="4"/>
      <c r="T29" s="4"/>
      <c r="U29" s="4"/>
      <c r="V29" s="4"/>
      <c r="W29" s="4"/>
      <c r="X29" s="4"/>
      <c r="Y29" s="4"/>
      <c r="Z29" s="4"/>
      <c r="AA29" s="4"/>
      <c r="AB29" s="4"/>
      <c r="AC29" s="4"/>
    </row>
    <row r="30" spans="1:36">
      <c r="A30" t="s">
        <v>162</v>
      </c>
      <c r="H30" s="4"/>
      <c r="I30" s="4"/>
      <c r="J30" s="4"/>
      <c r="K30" s="4"/>
      <c r="L30" s="4"/>
      <c r="M30" s="4"/>
      <c r="N30" s="4"/>
      <c r="O30" s="4"/>
      <c r="P30" s="4"/>
      <c r="Q30" s="4"/>
      <c r="R30" s="4"/>
      <c r="S30" s="4"/>
      <c r="T30" s="4"/>
      <c r="U30" s="4"/>
      <c r="V30" s="4"/>
      <c r="W30" s="4"/>
      <c r="X30" s="4"/>
      <c r="Y30" s="4"/>
      <c r="Z30" s="4"/>
      <c r="AA30" s="4"/>
      <c r="AB30" s="4"/>
      <c r="AC30" s="4"/>
    </row>
    <row r="31" spans="1:36">
      <c r="H31" s="4"/>
      <c r="I31" s="4"/>
      <c r="J31" s="4"/>
      <c r="K31" s="4"/>
      <c r="L31" s="4"/>
      <c r="M31" s="4"/>
      <c r="N31" s="4"/>
      <c r="O31" s="4"/>
      <c r="P31" s="4"/>
      <c r="Q31" s="4"/>
      <c r="R31" s="4"/>
      <c r="S31" s="4"/>
      <c r="T31" s="4"/>
      <c r="U31" s="4"/>
      <c r="V31" s="4"/>
      <c r="W31" s="4"/>
      <c r="X31" s="4"/>
      <c r="Y31" s="4"/>
      <c r="Z31" s="4"/>
      <c r="AA31" s="4"/>
      <c r="AB31" s="4"/>
      <c r="AC31" s="4"/>
    </row>
    <row r="32" spans="1:36">
      <c r="H32" s="4"/>
      <c r="I32" s="4"/>
      <c r="J32" s="4"/>
      <c r="K32" s="4"/>
      <c r="L32" s="4"/>
      <c r="M32" s="4"/>
      <c r="N32" s="4"/>
      <c r="O32" s="4"/>
      <c r="P32" s="4"/>
      <c r="Q32" s="4"/>
      <c r="R32" s="4"/>
      <c r="S32" s="4"/>
      <c r="T32" s="4"/>
      <c r="U32" s="4"/>
      <c r="V32" s="4"/>
      <c r="W32" s="4"/>
      <c r="X32" s="4"/>
      <c r="Y32" s="4"/>
      <c r="Z32" s="4"/>
      <c r="AA32" s="4"/>
      <c r="AB32" s="4"/>
      <c r="AC32" s="4"/>
    </row>
    <row r="33" spans="1:29">
      <c r="A33" t="s">
        <v>163</v>
      </c>
    </row>
    <row r="34" spans="1:29">
      <c r="A34" t="s">
        <v>164</v>
      </c>
      <c r="B34" t="s">
        <v>165</v>
      </c>
      <c r="C34" t="s">
        <v>166</v>
      </c>
      <c r="D34" t="s">
        <v>167</v>
      </c>
      <c r="E34" t="s">
        <v>168</v>
      </c>
      <c r="F34" t="s">
        <v>169</v>
      </c>
      <c r="G34" t="s">
        <v>170</v>
      </c>
      <c r="H34" s="4" t="s">
        <v>171</v>
      </c>
      <c r="I34" s="4" t="s">
        <v>172</v>
      </c>
      <c r="J34" s="4" t="s">
        <v>173</v>
      </c>
      <c r="K34" s="4" t="s">
        <v>174</v>
      </c>
      <c r="L34" s="4"/>
      <c r="M34" s="4"/>
      <c r="N34" s="4"/>
      <c r="O34" s="4"/>
      <c r="P34" s="4"/>
      <c r="Q34" s="4"/>
      <c r="R34" s="4"/>
      <c r="S34" s="4"/>
      <c r="T34" s="4"/>
      <c r="U34" s="4"/>
      <c r="V34" s="4"/>
      <c r="W34" s="4"/>
      <c r="X34" s="4"/>
      <c r="Y34" s="4"/>
      <c r="Z34" s="4"/>
      <c r="AA34" s="4"/>
      <c r="AB34" s="4"/>
      <c r="AC34" s="4"/>
    </row>
    <row r="35" spans="1:29">
      <c r="H35" s="4"/>
      <c r="I35" s="4"/>
      <c r="J35" s="4"/>
      <c r="K35" s="4"/>
      <c r="L35" s="4"/>
      <c r="M35" s="4"/>
      <c r="N35" s="4"/>
      <c r="O35" s="4"/>
      <c r="P35" s="4"/>
      <c r="Q35" s="4"/>
      <c r="R35" s="4"/>
      <c r="S35" s="4"/>
      <c r="T35" s="4"/>
      <c r="U35" s="4"/>
      <c r="V35" s="4"/>
      <c r="W35" s="4"/>
      <c r="X35" s="4"/>
      <c r="Y35" s="4"/>
      <c r="Z35" s="4"/>
      <c r="AA35" s="4"/>
      <c r="AB35" s="4"/>
      <c r="AC35" s="4"/>
    </row>
    <row r="36" spans="1:29">
      <c r="H36" s="4"/>
      <c r="I36" s="4"/>
      <c r="J36" s="4"/>
      <c r="K36" s="4"/>
      <c r="L36" s="4"/>
      <c r="M36" s="4"/>
      <c r="N36" s="4"/>
      <c r="O36" s="4"/>
      <c r="P36" s="4"/>
      <c r="Q36" s="4"/>
      <c r="R36" s="4"/>
      <c r="S36" s="4"/>
      <c r="T36" s="4"/>
      <c r="U36" s="4"/>
      <c r="V36" s="4"/>
      <c r="W36" s="4"/>
      <c r="X36" s="4"/>
      <c r="Y36" s="4"/>
      <c r="Z36" s="4"/>
      <c r="AA36" s="4"/>
      <c r="AB36" s="4"/>
      <c r="AC36" s="4"/>
    </row>
    <row r="37" spans="1:29">
      <c r="A37" t="s">
        <v>175</v>
      </c>
      <c r="H37" s="4"/>
      <c r="I37" s="4"/>
      <c r="J37" s="4"/>
      <c r="K37" s="4"/>
      <c r="L37" s="4"/>
      <c r="M37" s="4"/>
      <c r="N37" s="4"/>
      <c r="O37" s="4"/>
      <c r="P37" s="4"/>
      <c r="Q37" s="4"/>
      <c r="R37" s="4"/>
      <c r="S37" s="4"/>
      <c r="T37" s="4"/>
      <c r="U37" s="4"/>
      <c r="V37" s="4"/>
      <c r="W37" s="4"/>
      <c r="X37" s="4"/>
      <c r="Y37" s="4"/>
      <c r="Z37" s="4"/>
      <c r="AA37" s="4"/>
      <c r="AB37" s="4"/>
      <c r="AC37" s="4"/>
    </row>
    <row r="38" spans="1:29">
      <c r="A38" t="s">
        <v>56</v>
      </c>
      <c r="H38" s="4"/>
      <c r="I38" s="4"/>
      <c r="J38" s="4"/>
      <c r="K38" s="4"/>
      <c r="L38" s="4"/>
      <c r="M38" s="4"/>
      <c r="N38" s="4"/>
      <c r="O38" s="4"/>
      <c r="P38" s="4"/>
      <c r="Q38" s="4"/>
      <c r="R38" s="4"/>
      <c r="S38" s="4"/>
      <c r="T38" s="4"/>
      <c r="U38" s="4"/>
      <c r="V38" s="4"/>
      <c r="W38" s="4"/>
      <c r="X38" s="4"/>
      <c r="Y38" s="4"/>
      <c r="Z38" s="4"/>
      <c r="AA38" s="4"/>
      <c r="AB38" s="4"/>
      <c r="AC38" s="4"/>
    </row>
    <row r="39" spans="1:29">
      <c r="A39" t="s">
        <v>176</v>
      </c>
    </row>
    <row r="40" spans="1:29">
      <c r="A40" t="s">
        <v>177</v>
      </c>
      <c r="H40" s="4"/>
      <c r="I40" s="4"/>
      <c r="J40" s="4"/>
      <c r="K40" s="4"/>
      <c r="L40" s="4"/>
      <c r="M40" s="4"/>
      <c r="N40" s="4"/>
      <c r="O40" s="4"/>
      <c r="P40" s="4"/>
      <c r="Q40" s="4"/>
      <c r="R40" s="4"/>
      <c r="S40" s="4"/>
      <c r="T40" s="4"/>
      <c r="U40" s="4"/>
      <c r="V40" s="4"/>
      <c r="W40" s="4"/>
      <c r="X40" s="4"/>
      <c r="Y40" s="4"/>
      <c r="Z40" s="4"/>
      <c r="AA40" s="4"/>
      <c r="AB40" s="4"/>
      <c r="AC40" s="4"/>
    </row>
    <row r="41" spans="1:29">
      <c r="H41" s="4"/>
      <c r="I41" s="4"/>
      <c r="J41" s="4"/>
      <c r="K41" s="4"/>
      <c r="L41" s="4"/>
      <c r="M41" s="4"/>
      <c r="N41" s="4"/>
      <c r="O41" s="4"/>
      <c r="P41" s="4"/>
      <c r="Q41" s="4"/>
      <c r="R41" s="4"/>
      <c r="S41" s="4"/>
      <c r="T41" s="4"/>
      <c r="U41" s="4"/>
      <c r="V41" s="4"/>
      <c r="W41" s="4"/>
      <c r="X41" s="4"/>
      <c r="Y41" s="4"/>
      <c r="Z41" s="4"/>
      <c r="AA41" s="4"/>
      <c r="AB41" s="4"/>
      <c r="AC41" s="4"/>
    </row>
    <row r="42" spans="1:29">
      <c r="A42" t="s">
        <v>178</v>
      </c>
      <c r="H42" s="4"/>
      <c r="I42" s="4"/>
      <c r="J42" s="4"/>
      <c r="K42" s="4"/>
      <c r="L42" s="4"/>
      <c r="M42" s="4"/>
      <c r="N42" s="4"/>
      <c r="O42" s="4"/>
      <c r="P42" s="4"/>
      <c r="Q42" s="4"/>
      <c r="R42" s="4"/>
      <c r="S42" s="4"/>
      <c r="T42" s="4"/>
      <c r="U42" s="4"/>
      <c r="V42" s="4"/>
      <c r="W42" s="4"/>
      <c r="X42" s="4"/>
      <c r="Y42" s="4"/>
      <c r="Z42" s="4"/>
      <c r="AA42" s="4"/>
      <c r="AB42" s="4"/>
      <c r="AC42" s="4"/>
    </row>
    <row r="43" spans="1:29">
      <c r="A43" t="s">
        <v>176</v>
      </c>
      <c r="B43" t="s">
        <v>179</v>
      </c>
      <c r="C43" t="s">
        <v>180</v>
      </c>
      <c r="D43" s="11" t="s">
        <v>150</v>
      </c>
      <c r="H43" s="4"/>
      <c r="I43" s="4"/>
      <c r="J43" s="4"/>
      <c r="K43" s="4"/>
      <c r="L43" s="4"/>
      <c r="M43" s="4"/>
      <c r="N43" s="4"/>
      <c r="O43" s="4"/>
      <c r="P43" s="4"/>
      <c r="Q43" s="4"/>
      <c r="R43" s="4"/>
      <c r="S43" s="4"/>
      <c r="T43" s="4"/>
      <c r="U43" s="4"/>
      <c r="V43" s="4"/>
      <c r="W43" s="4"/>
      <c r="X43" s="4"/>
      <c r="Y43" s="4"/>
      <c r="Z43" s="4"/>
      <c r="AA43" s="4"/>
      <c r="AB43" s="4"/>
      <c r="AC43" s="4"/>
    </row>
    <row r="44" spans="1:29">
      <c r="A44" t="s">
        <v>177</v>
      </c>
      <c r="B44" t="s">
        <v>179</v>
      </c>
      <c r="C44" t="s">
        <v>180</v>
      </c>
      <c r="D44" s="11" t="s">
        <v>150</v>
      </c>
      <c r="H44" s="4"/>
      <c r="I44" s="4"/>
      <c r="J44" s="4"/>
      <c r="K44" s="4"/>
      <c r="L44" s="4"/>
      <c r="M44" s="4"/>
      <c r="N44" s="4"/>
      <c r="O44" s="4"/>
      <c r="P44" s="4"/>
      <c r="Q44" s="4"/>
      <c r="R44" s="4"/>
      <c r="S44" s="4"/>
      <c r="T44" s="4"/>
      <c r="U44" s="4"/>
      <c r="V44" s="4"/>
      <c r="W44" s="4"/>
      <c r="X44" s="4"/>
      <c r="Y44" s="4"/>
      <c r="Z44" s="4"/>
      <c r="AA44" s="4"/>
      <c r="AB44" s="4"/>
      <c r="AC44" s="4"/>
    </row>
    <row r="45" spans="1:29">
      <c r="H45" s="4"/>
      <c r="I45" s="4"/>
      <c r="J45" s="4"/>
      <c r="K45" s="4"/>
      <c r="L45" s="4"/>
      <c r="M45" s="4"/>
      <c r="N45" s="4"/>
      <c r="O45" s="4"/>
      <c r="P45" s="4"/>
      <c r="Q45" s="4"/>
      <c r="R45" s="4"/>
      <c r="S45" s="4"/>
      <c r="T45" s="4"/>
      <c r="U45" s="4"/>
      <c r="V45" s="4"/>
      <c r="W45" s="4"/>
      <c r="X45" s="4"/>
      <c r="Y45" s="4"/>
      <c r="Z45" s="4"/>
      <c r="AA45" s="4"/>
      <c r="AB45" s="4"/>
      <c r="AC45" s="4"/>
    </row>
    <row r="46" spans="1:29">
      <c r="A46" s="12" t="s">
        <v>181</v>
      </c>
      <c r="E46" t="s">
        <v>182</v>
      </c>
      <c r="H46" s="4"/>
      <c r="I46" s="4"/>
      <c r="J46" s="4"/>
      <c r="K46" s="4"/>
      <c r="L46" s="4"/>
      <c r="M46" s="4"/>
      <c r="N46" s="4"/>
      <c r="O46" s="4"/>
      <c r="P46" s="4"/>
      <c r="Q46" s="4"/>
      <c r="R46" s="4"/>
      <c r="S46" s="4"/>
      <c r="T46" s="4"/>
      <c r="U46" s="4"/>
      <c r="V46" s="4"/>
      <c r="W46" s="4"/>
      <c r="X46" s="4"/>
      <c r="Y46" s="4"/>
      <c r="Z46" s="4"/>
      <c r="AA46" s="4"/>
      <c r="AB46" s="4"/>
      <c r="AC46" s="4"/>
    </row>
    <row r="47" spans="1:29">
      <c r="A47" t="s">
        <v>183</v>
      </c>
      <c r="B47" t="s">
        <v>184</v>
      </c>
      <c r="C47" t="s">
        <v>185</v>
      </c>
      <c r="E47" t="s">
        <v>44</v>
      </c>
      <c r="F47">
        <v>0</v>
      </c>
      <c r="H47" s="4"/>
      <c r="I47" s="4"/>
      <c r="J47" s="4"/>
      <c r="K47" s="4"/>
      <c r="L47" s="4"/>
      <c r="M47" s="4"/>
      <c r="N47" s="4"/>
      <c r="O47" s="4"/>
      <c r="P47" s="4"/>
      <c r="Q47" s="4"/>
      <c r="R47" s="4"/>
      <c r="S47" s="4"/>
      <c r="T47" s="4"/>
      <c r="U47" s="4"/>
      <c r="V47" s="4"/>
      <c r="W47" s="4"/>
      <c r="X47" s="4"/>
      <c r="Y47" s="4"/>
      <c r="Z47" s="4"/>
      <c r="AA47" s="4"/>
      <c r="AB47" s="4"/>
      <c r="AC47" s="4"/>
    </row>
    <row r="48" spans="1:29">
      <c r="A48" t="s">
        <v>186</v>
      </c>
      <c r="B48" t="s">
        <v>184</v>
      </c>
      <c r="C48" t="s">
        <v>185</v>
      </c>
      <c r="E48" t="s">
        <v>159</v>
      </c>
      <c r="F48">
        <v>1500</v>
      </c>
      <c r="H48" s="4"/>
      <c r="I48" s="4"/>
      <c r="J48" s="4"/>
      <c r="K48" s="4"/>
      <c r="L48" s="4"/>
      <c r="M48" s="4"/>
      <c r="N48" s="4"/>
      <c r="O48" s="4"/>
      <c r="P48" s="4"/>
      <c r="Q48" s="4"/>
      <c r="R48" s="4"/>
      <c r="S48" s="4"/>
      <c r="T48" s="4"/>
      <c r="U48" s="4"/>
      <c r="V48" s="4"/>
      <c r="W48" s="4"/>
      <c r="X48" s="4"/>
      <c r="Y48" s="4"/>
      <c r="Z48" s="4"/>
      <c r="AA48" s="4"/>
      <c r="AB48" s="4"/>
      <c r="AC48" s="4"/>
    </row>
    <row r="50" spans="1:29">
      <c r="H50" s="4"/>
      <c r="I50" s="4"/>
      <c r="J50" s="4"/>
      <c r="K50" s="4"/>
      <c r="L50" s="4"/>
      <c r="M50" s="4"/>
      <c r="N50" s="4"/>
      <c r="O50" s="4"/>
      <c r="P50" s="4"/>
      <c r="Q50" s="4"/>
      <c r="R50" s="4"/>
      <c r="S50" s="4"/>
      <c r="T50" s="4"/>
      <c r="U50" s="4"/>
      <c r="V50" s="4"/>
      <c r="W50" s="4"/>
      <c r="X50" s="4"/>
      <c r="Y50" s="4"/>
      <c r="Z50" s="4"/>
      <c r="AA50" s="4"/>
      <c r="AB50" s="4"/>
      <c r="AC50" s="4"/>
    </row>
    <row r="51" spans="1:29">
      <c r="H51" s="4"/>
      <c r="I51" s="4"/>
      <c r="J51" s="4"/>
      <c r="K51" s="4"/>
      <c r="L51" s="4"/>
      <c r="M51" s="4"/>
      <c r="N51" s="4"/>
      <c r="O51" s="4"/>
      <c r="P51" s="4"/>
      <c r="Q51" s="4"/>
      <c r="R51" s="4"/>
      <c r="S51" s="4"/>
      <c r="T51" s="4"/>
      <c r="U51" s="4"/>
      <c r="V51" s="4"/>
      <c r="W51" s="4"/>
      <c r="X51" s="4"/>
      <c r="Y51" s="4"/>
      <c r="Z51" s="4"/>
      <c r="AA51" s="4"/>
      <c r="AB51" s="4"/>
      <c r="AC51" s="4"/>
    </row>
    <row r="52" spans="1:29">
      <c r="A52" s="12" t="s">
        <v>187</v>
      </c>
      <c r="H52" s="4"/>
      <c r="I52" s="4"/>
      <c r="J52" s="4"/>
      <c r="K52" s="4"/>
      <c r="L52" s="4"/>
      <c r="M52" s="4"/>
      <c r="N52" s="4"/>
      <c r="O52" s="4"/>
      <c r="P52" s="4"/>
      <c r="Q52" s="4"/>
      <c r="R52" s="4"/>
      <c r="S52" s="4"/>
      <c r="T52" s="4"/>
      <c r="U52" s="4"/>
      <c r="V52" s="4"/>
      <c r="W52" s="4"/>
      <c r="X52" s="4"/>
      <c r="Y52" s="4"/>
      <c r="Z52" s="4"/>
      <c r="AA52" s="4"/>
      <c r="AB52" s="4"/>
      <c r="AC52" s="4"/>
    </row>
    <row r="53" spans="1:29">
      <c r="A53" t="s">
        <v>52</v>
      </c>
      <c r="B53">
        <v>0</v>
      </c>
      <c r="H53" s="4"/>
      <c r="I53" s="4"/>
      <c r="J53" s="4"/>
      <c r="K53" s="4"/>
      <c r="L53" s="4"/>
      <c r="M53" s="4"/>
      <c r="N53" s="4"/>
      <c r="O53" s="4"/>
      <c r="P53" s="4"/>
      <c r="Q53" s="4"/>
      <c r="R53" s="4"/>
      <c r="S53" s="4"/>
      <c r="T53" s="4"/>
      <c r="U53" s="4"/>
      <c r="V53" s="4"/>
      <c r="W53" s="4"/>
      <c r="X53" s="4"/>
      <c r="Y53" s="4"/>
      <c r="Z53" s="4"/>
      <c r="AA53" s="4"/>
      <c r="AB53" s="4"/>
      <c r="AC53" s="4"/>
    </row>
    <row r="54" spans="1:29">
      <c r="A54" t="s">
        <v>188</v>
      </c>
      <c r="B54">
        <v>100</v>
      </c>
      <c r="H54" s="4"/>
      <c r="I54" s="4"/>
      <c r="J54" s="4"/>
      <c r="K54" s="4"/>
      <c r="L54" s="4"/>
      <c r="M54" s="4"/>
      <c r="N54" s="4"/>
      <c r="O54" s="4"/>
      <c r="P54" s="4"/>
      <c r="Q54" s="4"/>
      <c r="R54" s="4"/>
      <c r="S54" s="4"/>
      <c r="T54" s="4"/>
      <c r="U54" s="4"/>
      <c r="V54" s="4"/>
      <c r="W54" s="4"/>
      <c r="X54" s="4"/>
      <c r="Y54" s="4"/>
      <c r="Z54" s="4"/>
      <c r="AA54" s="4"/>
      <c r="AB54" s="4"/>
      <c r="AC54" s="4"/>
    </row>
    <row r="55" spans="1:29">
      <c r="A55" t="s">
        <v>189</v>
      </c>
      <c r="B55">
        <v>100</v>
      </c>
      <c r="H55" s="4"/>
      <c r="I55" s="4"/>
      <c r="J55" s="4"/>
      <c r="K55" s="4"/>
      <c r="L55" s="4"/>
      <c r="M55" s="4"/>
      <c r="N55" s="4"/>
      <c r="O55" s="4"/>
      <c r="P55" s="4"/>
      <c r="Q55" s="4"/>
      <c r="R55" s="4"/>
      <c r="S55" s="4"/>
      <c r="T55" s="4"/>
      <c r="U55" s="4"/>
      <c r="V55" s="4"/>
      <c r="W55" s="4"/>
      <c r="X55" s="4"/>
      <c r="Y55" s="4"/>
      <c r="Z55" s="4"/>
      <c r="AA55" s="4"/>
      <c r="AB55" s="4"/>
      <c r="AC55" s="4"/>
    </row>
    <row r="56" spans="1:29">
      <c r="A56" t="s">
        <v>190</v>
      </c>
      <c r="B56">
        <v>200</v>
      </c>
      <c r="D56" s="4"/>
      <c r="E56" s="4"/>
      <c r="F56" s="4"/>
      <c r="G56" s="4"/>
      <c r="H56" s="4"/>
      <c r="I56" s="4"/>
      <c r="J56" s="4"/>
      <c r="K56" s="4"/>
      <c r="L56" s="4"/>
      <c r="M56" s="4"/>
      <c r="N56" s="4"/>
      <c r="O56" s="4"/>
      <c r="P56" s="4"/>
      <c r="Q56" s="4"/>
      <c r="R56" s="4"/>
      <c r="V56" s="4"/>
      <c r="W56" s="4"/>
      <c r="X56" s="4"/>
      <c r="Y56" s="4"/>
      <c r="Z56" s="4"/>
      <c r="AA56" s="4"/>
      <c r="AB56" s="4"/>
      <c r="AC56" s="4"/>
    </row>
    <row r="57" spans="1:29">
      <c r="D57" s="4"/>
      <c r="E57" s="4"/>
      <c r="F57" s="4"/>
      <c r="G57" s="4"/>
      <c r="H57" s="4"/>
      <c r="I57" s="4"/>
      <c r="J57" s="4"/>
      <c r="K57" s="4"/>
      <c r="L57" s="4"/>
      <c r="M57" s="4"/>
      <c r="N57" s="4"/>
      <c r="O57" s="4"/>
      <c r="P57" s="4"/>
      <c r="Q57" s="4"/>
      <c r="R57" s="4"/>
      <c r="V57" s="4"/>
      <c r="W57" s="4"/>
      <c r="X57" s="4"/>
      <c r="Y57" s="4"/>
      <c r="Z57" s="4"/>
      <c r="AA57" s="4"/>
      <c r="AB57" s="4"/>
      <c r="AC57" s="4"/>
    </row>
    <row r="58" spans="1:29">
      <c r="D58" s="4"/>
      <c r="E58" s="4"/>
      <c r="F58" s="4"/>
      <c r="G58" s="4"/>
      <c r="H58" s="4"/>
      <c r="I58" s="4"/>
      <c r="J58" s="4"/>
      <c r="K58" s="4"/>
      <c r="L58" s="4"/>
      <c r="M58" s="4"/>
      <c r="N58" s="4"/>
      <c r="O58" s="4"/>
      <c r="P58" s="4"/>
      <c r="Q58" s="4"/>
      <c r="R58" s="4"/>
      <c r="V58" s="4"/>
      <c r="W58" s="4"/>
      <c r="X58" s="4"/>
      <c r="Y58" s="4"/>
      <c r="Z58" s="4"/>
      <c r="AA58" s="4"/>
      <c r="AB58" s="4"/>
      <c r="AC58" s="4"/>
    </row>
    <row r="59" spans="1:29">
      <c r="A59" t="s">
        <v>191</v>
      </c>
      <c r="D59" s="4"/>
      <c r="E59" s="4"/>
      <c r="F59" s="4"/>
      <c r="G59" s="4"/>
      <c r="H59" s="4"/>
      <c r="I59" s="4"/>
      <c r="J59" s="4"/>
      <c r="K59" s="4"/>
      <c r="L59" s="4"/>
      <c r="M59" s="4"/>
      <c r="N59" s="4"/>
      <c r="O59" s="4"/>
      <c r="P59" s="4"/>
      <c r="Q59" s="4"/>
      <c r="R59" s="4"/>
      <c r="V59" s="4"/>
      <c r="W59" s="4"/>
      <c r="X59" s="4"/>
      <c r="Y59" s="4"/>
      <c r="Z59" s="4"/>
      <c r="AA59" s="4"/>
      <c r="AB59" s="4"/>
      <c r="AC59" s="4"/>
    </row>
    <row r="60" spans="1:29">
      <c r="A60" t="s">
        <v>90</v>
      </c>
      <c r="B60">
        <v>0</v>
      </c>
    </row>
    <row r="61" spans="1:29">
      <c r="A61" t="s">
        <v>54</v>
      </c>
      <c r="B61">
        <v>0</v>
      </c>
      <c r="H61" s="4"/>
      <c r="I61" s="4"/>
      <c r="J61" s="4"/>
      <c r="K61" s="4"/>
      <c r="L61" s="4"/>
      <c r="M61" s="4"/>
      <c r="N61" s="4"/>
      <c r="O61" s="4"/>
      <c r="P61" s="4"/>
      <c r="Q61" s="4"/>
      <c r="R61" s="4"/>
      <c r="S61" s="4"/>
      <c r="T61" s="4"/>
      <c r="U61" s="4"/>
      <c r="V61" s="4"/>
      <c r="W61" s="4"/>
      <c r="X61" s="4"/>
      <c r="Y61" s="4"/>
      <c r="Z61" s="4"/>
      <c r="AA61" s="4"/>
      <c r="AB61" s="4"/>
      <c r="AC61" s="4"/>
    </row>
    <row r="62" spans="1:29">
      <c r="A62" t="s">
        <v>192</v>
      </c>
      <c r="B62">
        <v>0</v>
      </c>
    </row>
    <row r="65" spans="1:29">
      <c r="H65" s="4"/>
      <c r="I65" s="4"/>
      <c r="J65" s="4"/>
      <c r="K65" s="4"/>
      <c r="L65" s="4"/>
      <c r="M65" s="4"/>
      <c r="N65" s="4"/>
      <c r="O65" s="4"/>
      <c r="P65" s="4"/>
      <c r="Q65" s="4"/>
      <c r="R65" s="4"/>
      <c r="S65" s="4"/>
      <c r="T65" s="4"/>
      <c r="U65" s="4"/>
      <c r="V65" s="4"/>
      <c r="W65" s="4"/>
      <c r="X65" s="4"/>
      <c r="Y65" s="4"/>
      <c r="Z65" s="4"/>
      <c r="AA65" s="4"/>
      <c r="AB65" s="4"/>
      <c r="AC65" s="4"/>
    </row>
    <row r="66" spans="1:29">
      <c r="D66" s="4"/>
      <c r="E66" s="4"/>
      <c r="F66" s="4"/>
      <c r="G66" s="4"/>
      <c r="H66" s="4"/>
      <c r="I66" s="4"/>
      <c r="J66" s="4"/>
      <c r="K66" s="4"/>
      <c r="L66" s="4"/>
      <c r="M66" s="4"/>
      <c r="N66" s="4"/>
      <c r="O66" s="4"/>
      <c r="P66" s="4"/>
      <c r="Q66" s="4"/>
      <c r="R66" s="4"/>
      <c r="V66" s="4"/>
      <c r="W66" s="4"/>
      <c r="X66" s="4"/>
      <c r="Y66" s="4"/>
    </row>
    <row r="67" spans="1:29">
      <c r="A67" t="s">
        <v>193</v>
      </c>
      <c r="B67" t="s">
        <v>194</v>
      </c>
      <c r="C67" t="s">
        <v>195</v>
      </c>
      <c r="D67" s="4"/>
      <c r="E67" s="4"/>
      <c r="F67" s="4"/>
      <c r="G67" s="4"/>
      <c r="H67" s="4"/>
      <c r="I67" s="4"/>
      <c r="J67" s="4"/>
      <c r="K67" s="4"/>
      <c r="L67" s="4"/>
      <c r="M67" s="4"/>
      <c r="N67" s="4"/>
      <c r="O67" s="4"/>
      <c r="P67" s="4"/>
      <c r="Q67" s="4"/>
      <c r="R67" s="4"/>
      <c r="V67" s="4"/>
      <c r="W67" s="4"/>
      <c r="X67" s="4"/>
      <c r="Y67" s="4"/>
    </row>
    <row r="69" spans="1:29">
      <c r="H69" s="4"/>
      <c r="I69" s="4"/>
      <c r="J69" s="4"/>
      <c r="K69" s="4"/>
      <c r="L69" s="4"/>
      <c r="M69" s="4"/>
      <c r="N69" s="4"/>
      <c r="O69" s="4"/>
      <c r="P69" s="4"/>
      <c r="Q69" s="4"/>
      <c r="R69" s="4"/>
      <c r="S69" s="4"/>
      <c r="T69" s="4"/>
      <c r="U69" s="4"/>
      <c r="V69" s="4"/>
      <c r="W69" s="4"/>
      <c r="X69" s="4"/>
      <c r="Y69" s="4"/>
      <c r="Z69" s="4"/>
      <c r="AA69" s="4"/>
      <c r="AB69" s="4"/>
      <c r="AC69" s="4"/>
    </row>
    <row r="70" spans="1:29">
      <c r="H70" s="4"/>
      <c r="I70" s="4"/>
      <c r="J70" s="4"/>
      <c r="K70" s="4"/>
      <c r="L70" s="4"/>
      <c r="M70" s="4"/>
      <c r="N70" s="4"/>
      <c r="O70" s="4"/>
      <c r="P70" s="4"/>
      <c r="Q70" s="4"/>
      <c r="R70" s="4"/>
      <c r="S70" s="4"/>
      <c r="T70" s="4"/>
      <c r="U70" s="4"/>
      <c r="V70" s="4"/>
      <c r="W70" s="4"/>
      <c r="X70" s="4"/>
      <c r="Y70" s="4"/>
      <c r="Z70" s="4"/>
      <c r="AA70" s="4"/>
      <c r="AB70" s="4"/>
      <c r="AC70" s="4"/>
    </row>
    <row r="71" spans="1:29">
      <c r="A71" t="s">
        <v>196</v>
      </c>
      <c r="B71" t="s">
        <v>158</v>
      </c>
      <c r="H71" s="4"/>
      <c r="I71" s="4"/>
      <c r="J71" s="4"/>
      <c r="K71" s="4"/>
      <c r="L71" s="4"/>
      <c r="M71" s="4"/>
      <c r="N71" s="4"/>
      <c r="O71" s="4"/>
      <c r="P71" s="4"/>
      <c r="Q71" s="4"/>
      <c r="R71" s="4"/>
      <c r="S71" s="4"/>
      <c r="T71" s="4"/>
      <c r="U71" s="4"/>
      <c r="V71" s="4"/>
      <c r="W71" s="4"/>
      <c r="X71" s="4"/>
      <c r="Y71" s="4"/>
      <c r="Z71" s="4"/>
      <c r="AA71" s="4"/>
      <c r="AB71" s="4"/>
      <c r="AC71" s="4"/>
    </row>
    <row r="72" spans="1:29">
      <c r="A72" t="s">
        <v>56</v>
      </c>
      <c r="B72">
        <v>0</v>
      </c>
      <c r="H72" s="4"/>
      <c r="I72" s="4"/>
      <c r="J72" s="4"/>
      <c r="K72" s="4"/>
      <c r="L72" s="4"/>
      <c r="M72" s="4"/>
      <c r="N72" s="4"/>
      <c r="O72" s="4"/>
      <c r="P72" s="4"/>
      <c r="Q72" s="4"/>
      <c r="R72" s="4"/>
      <c r="S72" s="4"/>
      <c r="T72" s="4"/>
      <c r="U72" s="4"/>
      <c r="V72" s="4"/>
      <c r="W72" s="4"/>
      <c r="X72" s="4"/>
      <c r="Y72" s="4"/>
      <c r="Z72" s="4"/>
      <c r="AA72" s="4"/>
      <c r="AB72" s="4"/>
      <c r="AC72" s="4"/>
    </row>
    <row r="73" spans="1:29">
      <c r="A73" t="s">
        <v>197</v>
      </c>
      <c r="B73">
        <v>0</v>
      </c>
      <c r="H73" s="4"/>
      <c r="I73" s="4"/>
      <c r="J73" s="4"/>
      <c r="K73" s="4"/>
      <c r="L73" s="4"/>
      <c r="M73" s="4"/>
      <c r="N73" s="4"/>
      <c r="O73" s="4"/>
      <c r="P73" s="4"/>
      <c r="Q73" s="4"/>
      <c r="R73" s="4"/>
      <c r="S73" s="4"/>
      <c r="T73" s="4"/>
      <c r="U73" s="4"/>
      <c r="V73" s="4"/>
      <c r="W73" s="4"/>
      <c r="X73" s="4"/>
      <c r="Y73" s="4"/>
      <c r="Z73" s="4"/>
      <c r="AA73" s="4"/>
      <c r="AB73" s="4"/>
      <c r="AC73" s="4"/>
    </row>
    <row r="74" spans="1:29">
      <c r="A74" t="s">
        <v>198</v>
      </c>
      <c r="B74">
        <v>1500</v>
      </c>
      <c r="H74" s="4"/>
      <c r="I74" s="4"/>
      <c r="J74" s="4"/>
      <c r="K74" s="4"/>
      <c r="L74" s="4"/>
      <c r="M74" s="4"/>
      <c r="N74" s="4"/>
      <c r="O74" s="4"/>
      <c r="P74" s="4"/>
      <c r="Q74" s="4"/>
      <c r="R74" s="4"/>
      <c r="S74" s="4"/>
      <c r="T74" s="4"/>
      <c r="U74" s="4"/>
      <c r="V74" s="4"/>
      <c r="W74" s="4"/>
      <c r="X74" s="4"/>
      <c r="Y74" s="4"/>
      <c r="Z74" s="4"/>
      <c r="AA74" s="4"/>
      <c r="AB74" s="4"/>
      <c r="AC74" s="4"/>
    </row>
    <row r="75" spans="1:29">
      <c r="A75" t="s">
        <v>199</v>
      </c>
      <c r="B75">
        <v>0</v>
      </c>
      <c r="H75" s="4"/>
      <c r="I75" s="4"/>
      <c r="J75" s="4"/>
      <c r="K75" s="4"/>
      <c r="L75" s="4"/>
      <c r="M75" s="4"/>
      <c r="N75" s="4"/>
      <c r="O75" s="4"/>
      <c r="P75" s="4"/>
      <c r="Q75" s="4"/>
      <c r="R75" s="4"/>
      <c r="S75" s="4"/>
      <c r="T75" s="4"/>
      <c r="U75" s="4"/>
      <c r="V75" s="4"/>
      <c r="W75" s="4"/>
      <c r="X75" s="4"/>
      <c r="Y75" s="4"/>
      <c r="Z75" s="4"/>
      <c r="AA75" s="4"/>
      <c r="AB75" s="4"/>
      <c r="AC75" s="4"/>
    </row>
    <row r="76" spans="1:29">
      <c r="A76" t="s">
        <v>200</v>
      </c>
      <c r="H76" s="4"/>
      <c r="I76" s="4"/>
      <c r="J76" s="4"/>
      <c r="K76" s="4"/>
      <c r="L76" s="4"/>
      <c r="M76" s="4"/>
      <c r="N76" s="4"/>
      <c r="O76" s="4"/>
      <c r="P76" s="4"/>
      <c r="Q76" s="4"/>
      <c r="R76" s="4"/>
      <c r="S76" s="4"/>
      <c r="T76" s="4"/>
      <c r="U76" s="4"/>
      <c r="V76" s="4"/>
      <c r="W76" s="4"/>
      <c r="X76" s="4"/>
      <c r="Y76" s="4"/>
      <c r="Z76" s="4"/>
      <c r="AA76" s="4"/>
      <c r="AB76" s="4"/>
      <c r="AC76" s="4"/>
    </row>
    <row r="77" spans="1:29">
      <c r="H77" s="4"/>
      <c r="I77" s="4"/>
      <c r="J77" s="4"/>
      <c r="K77" s="4"/>
      <c r="L77" s="4"/>
      <c r="M77" s="4"/>
      <c r="N77" s="4"/>
      <c r="O77" s="4"/>
      <c r="P77" s="4"/>
      <c r="Q77" s="4"/>
      <c r="R77" s="4"/>
      <c r="S77" s="4"/>
      <c r="T77" s="4"/>
      <c r="U77" s="4"/>
      <c r="V77" s="4"/>
      <c r="W77" s="4"/>
      <c r="X77" s="4"/>
      <c r="Y77" s="4"/>
      <c r="Z77" s="4"/>
      <c r="AA77" s="4"/>
      <c r="AB77" s="4"/>
      <c r="AC77" s="4"/>
    </row>
    <row r="78" spans="1:29">
      <c r="H78" s="4"/>
      <c r="I78" s="4"/>
      <c r="J78" s="4"/>
      <c r="K78" s="4"/>
      <c r="L78" s="4"/>
      <c r="M78" s="4"/>
      <c r="N78" s="4"/>
      <c r="O78" s="4"/>
      <c r="P78" s="4"/>
      <c r="Q78" s="4"/>
      <c r="R78" s="4"/>
      <c r="S78" s="4"/>
      <c r="T78" s="4"/>
      <c r="U78" s="4"/>
      <c r="V78" s="4"/>
      <c r="W78" s="4"/>
      <c r="X78" s="4"/>
      <c r="Y78" s="4"/>
      <c r="Z78" s="4"/>
      <c r="AA78" s="4"/>
      <c r="AB78" s="4"/>
      <c r="AC78" s="4"/>
    </row>
    <row r="79" spans="1:29">
      <c r="A79" t="s">
        <v>201</v>
      </c>
      <c r="H79" s="4"/>
      <c r="I79" s="4"/>
      <c r="J79" s="4"/>
      <c r="K79" s="4"/>
      <c r="L79" s="4"/>
      <c r="M79" s="4"/>
      <c r="N79" s="4"/>
      <c r="O79" s="4"/>
      <c r="P79" s="4"/>
      <c r="Q79" s="4"/>
      <c r="R79" s="4"/>
      <c r="S79" s="4"/>
      <c r="T79" s="4"/>
      <c r="U79" s="4"/>
      <c r="V79" s="4"/>
      <c r="W79" s="4"/>
      <c r="X79" s="4"/>
      <c r="Y79" s="4"/>
      <c r="Z79" s="4"/>
      <c r="AA79" s="4"/>
      <c r="AB79" s="4"/>
      <c r="AC79" s="4"/>
    </row>
    <row r="80" spans="1:29">
      <c r="A80" t="s">
        <v>161</v>
      </c>
      <c r="H80" s="4"/>
      <c r="I80" s="4"/>
      <c r="J80" s="4"/>
      <c r="K80" s="4"/>
      <c r="L80" s="4"/>
      <c r="M80" s="4"/>
      <c r="N80" s="4"/>
      <c r="O80" s="4"/>
      <c r="P80" s="4"/>
      <c r="Q80" s="4"/>
      <c r="R80" s="4"/>
      <c r="S80" s="4"/>
      <c r="T80" s="4"/>
      <c r="U80" s="4"/>
      <c r="V80" s="4"/>
      <c r="W80" s="4"/>
      <c r="X80" s="4"/>
      <c r="Y80" s="4"/>
      <c r="Z80" s="4"/>
      <c r="AA80" s="4"/>
      <c r="AB80" s="4"/>
      <c r="AC80" s="4"/>
    </row>
    <row r="81" spans="1:29">
      <c r="A81" t="s">
        <v>162</v>
      </c>
      <c r="H81" s="4"/>
      <c r="I81" s="4"/>
      <c r="J81" s="4"/>
      <c r="K81" s="4"/>
      <c r="L81" s="4"/>
      <c r="M81" s="4"/>
      <c r="N81" s="4"/>
      <c r="O81" s="4"/>
      <c r="P81" s="4"/>
      <c r="Q81" s="4"/>
      <c r="R81" s="4"/>
      <c r="S81" s="4"/>
      <c r="T81" s="4"/>
      <c r="U81" s="4"/>
      <c r="V81" s="4"/>
      <c r="W81" s="4"/>
      <c r="X81" s="4"/>
      <c r="Y81" s="4"/>
      <c r="Z81" s="4"/>
      <c r="AA81" s="4"/>
      <c r="AB81" s="4"/>
      <c r="AC81" s="4"/>
    </row>
    <row r="82" spans="1:29">
      <c r="H82" s="4"/>
      <c r="I82" s="4"/>
      <c r="J82" s="4"/>
      <c r="K82" s="4"/>
      <c r="L82" s="4"/>
      <c r="M82" s="4"/>
      <c r="N82" s="4"/>
      <c r="O82" s="4"/>
      <c r="P82" s="4"/>
      <c r="Q82" s="4"/>
      <c r="R82" s="4"/>
      <c r="S82" s="4"/>
      <c r="T82" s="4"/>
      <c r="U82" s="4"/>
      <c r="V82" s="4"/>
      <c r="W82" s="4"/>
      <c r="X82" s="4"/>
      <c r="Y82" s="4"/>
      <c r="Z82" s="4"/>
      <c r="AA82" s="4"/>
      <c r="AB82" s="4"/>
      <c r="AC82" s="4"/>
    </row>
    <row r="83" spans="1:29">
      <c r="H83" s="4"/>
      <c r="I83" s="4"/>
      <c r="J83" s="4"/>
      <c r="K83" s="4"/>
      <c r="L83" s="4"/>
      <c r="M83" s="4"/>
      <c r="N83" s="4"/>
      <c r="O83" s="4"/>
      <c r="P83" s="4"/>
      <c r="Q83" s="4"/>
      <c r="R83" s="4"/>
      <c r="S83" s="4"/>
      <c r="T83" s="4"/>
      <c r="U83" s="4"/>
      <c r="V83" s="4"/>
      <c r="W83" s="4"/>
      <c r="X83" s="4"/>
      <c r="Y83" s="4"/>
      <c r="Z83" s="4"/>
      <c r="AA83" s="4"/>
      <c r="AB83" s="4"/>
      <c r="AC83" s="4"/>
    </row>
    <row r="84" spans="1:29">
      <c r="A84" t="s">
        <v>163</v>
      </c>
    </row>
    <row r="85" spans="1:29">
      <c r="A85" t="s">
        <v>202</v>
      </c>
      <c r="B85" t="s">
        <v>165</v>
      </c>
      <c r="C85" t="s">
        <v>166</v>
      </c>
      <c r="D85" t="s">
        <v>167</v>
      </c>
      <c r="E85" t="s">
        <v>168</v>
      </c>
      <c r="F85" t="s">
        <v>169</v>
      </c>
      <c r="G85" t="s">
        <v>171</v>
      </c>
      <c r="H85" t="s">
        <v>172</v>
      </c>
      <c r="I85" t="s">
        <v>173</v>
      </c>
    </row>
    <row r="89" spans="1:29">
      <c r="A89" t="s">
        <v>203</v>
      </c>
    </row>
    <row r="90" spans="1:29">
      <c r="A90" t="s">
        <v>56</v>
      </c>
    </row>
    <row r="91" spans="1:29">
      <c r="A91" t="s">
        <v>176</v>
      </c>
    </row>
    <row r="92" spans="1:29">
      <c r="A92" t="s">
        <v>177</v>
      </c>
    </row>
    <row r="94" spans="1:29">
      <c r="A94" t="s">
        <v>204</v>
      </c>
    </row>
    <row r="95" spans="1:29">
      <c r="A95" t="s">
        <v>176</v>
      </c>
      <c r="B95" t="s">
        <v>179</v>
      </c>
      <c r="C95" t="s">
        <v>180</v>
      </c>
      <c r="D95" s="11"/>
    </row>
    <row r="96" spans="1:29">
      <c r="A96" t="s">
        <v>177</v>
      </c>
      <c r="B96" t="s">
        <v>179</v>
      </c>
      <c r="C96" t="s">
        <v>180</v>
      </c>
      <c r="D96" s="11"/>
    </row>
    <row r="98" spans="1:3">
      <c r="A98" t="s">
        <v>205</v>
      </c>
    </row>
    <row r="99" spans="1:3">
      <c r="A99" t="s">
        <v>206</v>
      </c>
      <c r="B99" t="s">
        <v>184</v>
      </c>
      <c r="C99" t="s">
        <v>185</v>
      </c>
    </row>
    <row r="100" spans="1:3">
      <c r="A100" t="s">
        <v>207</v>
      </c>
      <c r="B100" t="s">
        <v>184</v>
      </c>
      <c r="C100" t="s">
        <v>185</v>
      </c>
    </row>
    <row r="103" spans="1:3">
      <c r="A103" t="s">
        <v>208</v>
      </c>
      <c r="B103" t="s">
        <v>158</v>
      </c>
    </row>
    <row r="104" spans="1:3">
      <c r="A104" t="s">
        <v>62</v>
      </c>
      <c r="B104">
        <v>0</v>
      </c>
    </row>
    <row r="105" spans="1:3">
      <c r="A105" t="s">
        <v>209</v>
      </c>
      <c r="B105">
        <v>300</v>
      </c>
    </row>
    <row r="106" spans="1:3">
      <c r="A106" t="s">
        <v>210</v>
      </c>
      <c r="B106">
        <v>490</v>
      </c>
    </row>
    <row r="107" spans="1:3">
      <c r="A107" t="s">
        <v>211</v>
      </c>
      <c r="B107">
        <v>1000</v>
      </c>
    </row>
    <row r="111" spans="1:3">
      <c r="A111" t="s">
        <v>212</v>
      </c>
    </row>
    <row r="112" spans="1:3">
      <c r="A112" t="s">
        <v>65</v>
      </c>
      <c r="B112">
        <v>0</v>
      </c>
    </row>
    <row r="113" spans="1:6">
      <c r="A113" t="s">
        <v>90</v>
      </c>
      <c r="B113">
        <v>300</v>
      </c>
    </row>
    <row r="117" spans="1:6">
      <c r="A117" t="s">
        <v>213</v>
      </c>
      <c r="B117" t="s">
        <v>214</v>
      </c>
      <c r="C117" t="s">
        <v>56</v>
      </c>
      <c r="E117" t="s">
        <v>56</v>
      </c>
      <c r="F117">
        <v>0</v>
      </c>
    </row>
    <row r="118" spans="1:6">
      <c r="C118" t="s">
        <v>215</v>
      </c>
      <c r="D118">
        <v>1</v>
      </c>
      <c r="E118" t="str">
        <f>D118&amp;C118</f>
        <v>1 N/O</v>
      </c>
      <c r="F118">
        <v>840</v>
      </c>
    </row>
    <row r="119" spans="1:6">
      <c r="C119" t="s">
        <v>215</v>
      </c>
      <c r="D119">
        <v>2</v>
      </c>
      <c r="F119">
        <v>1700</v>
      </c>
    </row>
    <row r="120" spans="1:6">
      <c r="C120" t="s">
        <v>216</v>
      </c>
      <c r="D120">
        <v>1</v>
      </c>
      <c r="E120" t="str">
        <f>D120&amp;C120</f>
        <v>1 C/O</v>
      </c>
      <c r="F120">
        <v>840</v>
      </c>
    </row>
    <row r="121" spans="1:6">
      <c r="C121" t="s">
        <v>216</v>
      </c>
      <c r="D121">
        <v>2</v>
      </c>
      <c r="F121">
        <v>1700</v>
      </c>
    </row>
    <row r="123" spans="1:6">
      <c r="B123" t="s">
        <v>217</v>
      </c>
      <c r="E123" t="s">
        <v>56</v>
      </c>
      <c r="F123">
        <v>0</v>
      </c>
    </row>
    <row r="124" spans="1:6">
      <c r="E124" t="s">
        <v>218</v>
      </c>
      <c r="F124">
        <v>300</v>
      </c>
    </row>
    <row r="125" spans="1:6">
      <c r="F125">
        <v>600</v>
      </c>
    </row>
    <row r="126" spans="1:6">
      <c r="E126" t="s">
        <v>219</v>
      </c>
      <c r="F126">
        <v>300</v>
      </c>
    </row>
    <row r="127" spans="1:6">
      <c r="F127">
        <v>600</v>
      </c>
    </row>
    <row r="129" spans="2:6">
      <c r="B129" t="s">
        <v>220</v>
      </c>
      <c r="E129" t="s">
        <v>56</v>
      </c>
      <c r="F129">
        <v>0</v>
      </c>
    </row>
    <row r="130" spans="2:6">
      <c r="E130" t="s">
        <v>219</v>
      </c>
      <c r="F130">
        <v>500</v>
      </c>
    </row>
    <row r="131" spans="2:6">
      <c r="F131">
        <v>1000</v>
      </c>
    </row>
    <row r="133" spans="2:6">
      <c r="B133" t="s">
        <v>221</v>
      </c>
      <c r="E133" t="s">
        <v>56</v>
      </c>
      <c r="F133">
        <v>0</v>
      </c>
    </row>
    <row r="134" spans="2:6">
      <c r="E134" t="s">
        <v>219</v>
      </c>
      <c r="F134">
        <v>500</v>
      </c>
    </row>
    <row r="135" spans="2:6">
      <c r="F135">
        <v>1000</v>
      </c>
    </row>
    <row r="137" spans="2:6">
      <c r="B137" t="s">
        <v>222</v>
      </c>
      <c r="E137" t="s">
        <v>72</v>
      </c>
      <c r="F137">
        <v>0</v>
      </c>
    </row>
    <row r="138" spans="2:6">
      <c r="F138">
        <v>300</v>
      </c>
    </row>
    <row r="139" spans="2:6">
      <c r="E139" t="s">
        <v>223</v>
      </c>
      <c r="F139">
        <v>0</v>
      </c>
    </row>
    <row r="140" spans="2:6">
      <c r="F140">
        <v>300</v>
      </c>
    </row>
    <row r="142" spans="2:6">
      <c r="B142" t="s">
        <v>224</v>
      </c>
      <c r="E142" t="s">
        <v>225</v>
      </c>
      <c r="F142">
        <v>0</v>
      </c>
    </row>
    <row r="143" spans="2:6">
      <c r="E143" t="s">
        <v>218</v>
      </c>
      <c r="F143">
        <v>600</v>
      </c>
    </row>
    <row r="144" spans="2:6">
      <c r="E144" t="s">
        <v>226</v>
      </c>
      <c r="F144">
        <v>1200</v>
      </c>
    </row>
    <row r="147" spans="1:10">
      <c r="A147" t="s">
        <v>227</v>
      </c>
    </row>
    <row r="148" spans="1:10">
      <c r="A148" t="s">
        <v>44</v>
      </c>
    </row>
    <row r="149" spans="1:10">
      <c r="A149" t="s">
        <v>228</v>
      </c>
    </row>
    <row r="152" spans="1:10">
      <c r="A152" t="s">
        <v>228</v>
      </c>
      <c r="B152" t="s">
        <v>229</v>
      </c>
      <c r="C152" t="s">
        <v>230</v>
      </c>
      <c r="D152" t="s">
        <v>231</v>
      </c>
      <c r="E152" t="s">
        <v>232</v>
      </c>
      <c r="F152" t="s">
        <v>233</v>
      </c>
      <c r="G152" t="s">
        <v>234</v>
      </c>
      <c r="H152" t="s">
        <v>235</v>
      </c>
      <c r="I152" t="s">
        <v>236</v>
      </c>
      <c r="J152" t="s">
        <v>237</v>
      </c>
    </row>
    <row r="155" spans="1:10">
      <c r="A155" t="s">
        <v>238</v>
      </c>
      <c r="B155">
        <v>500</v>
      </c>
      <c r="D155" t="s">
        <v>229</v>
      </c>
      <c r="E155">
        <v>390</v>
      </c>
    </row>
    <row r="156" spans="1:10">
      <c r="A156" t="s">
        <v>239</v>
      </c>
      <c r="B156">
        <v>900</v>
      </c>
      <c r="D156" t="s">
        <v>230</v>
      </c>
      <c r="E156">
        <v>900</v>
      </c>
    </row>
    <row r="157" spans="1:10">
      <c r="A157" t="s">
        <v>240</v>
      </c>
      <c r="B157">
        <v>1500</v>
      </c>
      <c r="D157" t="s">
        <v>231</v>
      </c>
      <c r="E157">
        <v>900</v>
      </c>
    </row>
    <row r="158" spans="1:10">
      <c r="D158" t="s">
        <v>232</v>
      </c>
      <c r="E158">
        <v>900</v>
      </c>
    </row>
    <row r="159" spans="1:10">
      <c r="D159" t="s">
        <v>233</v>
      </c>
      <c r="E159">
        <v>900</v>
      </c>
    </row>
    <row r="160" spans="1:10">
      <c r="D160" t="s">
        <v>234</v>
      </c>
      <c r="E160">
        <v>900</v>
      </c>
    </row>
    <row r="161" spans="1:5">
      <c r="D161" t="s">
        <v>235</v>
      </c>
      <c r="E161">
        <v>900</v>
      </c>
    </row>
    <row r="162" spans="1:5">
      <c r="A162" t="s">
        <v>241</v>
      </c>
      <c r="D162" t="s">
        <v>236</v>
      </c>
      <c r="E162">
        <v>900</v>
      </c>
    </row>
    <row r="163" spans="1:5">
      <c r="A163" t="s">
        <v>242</v>
      </c>
      <c r="D163" t="s">
        <v>243</v>
      </c>
      <c r="E163">
        <v>1500</v>
      </c>
    </row>
    <row r="164" spans="1:5">
      <c r="A164" t="s">
        <v>244</v>
      </c>
    </row>
    <row r="165" spans="1:5">
      <c r="A165" t="s">
        <v>245</v>
      </c>
    </row>
    <row r="169" spans="1:5">
      <c r="A169" t="s">
        <v>244</v>
      </c>
      <c r="B169" t="s">
        <v>246</v>
      </c>
      <c r="C169" t="s">
        <v>247</v>
      </c>
      <c r="D169" t="s">
        <v>248</v>
      </c>
      <c r="E169" t="s">
        <v>249</v>
      </c>
    </row>
    <row r="170" spans="1:5">
      <c r="A170" t="s">
        <v>245</v>
      </c>
      <c r="B170" t="s">
        <v>246</v>
      </c>
      <c r="C170" t="s">
        <v>247</v>
      </c>
      <c r="D170" t="s">
        <v>248</v>
      </c>
      <c r="E170" t="s">
        <v>249</v>
      </c>
    </row>
    <row r="173" spans="1:5">
      <c r="A173" t="s">
        <v>250</v>
      </c>
    </row>
    <row r="174" spans="1:5">
      <c r="A174" s="12" t="s">
        <v>246</v>
      </c>
    </row>
    <row r="175" spans="1:5">
      <c r="A175" s="12" t="s">
        <v>247</v>
      </c>
    </row>
    <row r="176" spans="1:5">
      <c r="A176" s="12" t="s">
        <v>248</v>
      </c>
    </row>
    <row r="179" spans="1:1">
      <c r="A179" t="s">
        <v>251</v>
      </c>
    </row>
    <row r="180" spans="1:1">
      <c r="A180" s="12" t="s">
        <v>242</v>
      </c>
    </row>
    <row r="181" spans="1:1">
      <c r="A181" s="12" t="s">
        <v>246</v>
      </c>
    </row>
    <row r="182" spans="1:1">
      <c r="A182" s="12" t="s">
        <v>247</v>
      </c>
    </row>
    <row r="183" spans="1:1">
      <c r="A183" s="12" t="s">
        <v>248</v>
      </c>
    </row>
    <row r="184" spans="1:1">
      <c r="A184" s="12" t="s">
        <v>249</v>
      </c>
    </row>
    <row r="187" spans="1:1">
      <c r="A187" t="s">
        <v>252</v>
      </c>
    </row>
    <row r="188" spans="1:1">
      <c r="A188" t="s">
        <v>242</v>
      </c>
    </row>
    <row r="189" spans="1:1">
      <c r="A189" t="s">
        <v>246</v>
      </c>
    </row>
    <row r="190" spans="1:1">
      <c r="A190" t="s">
        <v>247</v>
      </c>
    </row>
    <row r="194" spans="1:9">
      <c r="A194" t="s">
        <v>253</v>
      </c>
      <c r="B194" t="s">
        <v>254</v>
      </c>
      <c r="C194" t="s">
        <v>253</v>
      </c>
      <c r="D194" t="s">
        <v>255</v>
      </c>
      <c r="F194" t="s">
        <v>256</v>
      </c>
      <c r="H194" t="s">
        <v>257</v>
      </c>
      <c r="I194" t="s">
        <v>258</v>
      </c>
    </row>
    <row r="195" spans="1:9">
      <c r="A195" t="s">
        <v>242</v>
      </c>
      <c r="B195" t="s">
        <v>259</v>
      </c>
      <c r="C195" t="s">
        <v>246</v>
      </c>
      <c r="D195" t="s">
        <v>244</v>
      </c>
      <c r="F195" t="s">
        <v>260</v>
      </c>
      <c r="H195" t="s">
        <v>261</v>
      </c>
      <c r="I195">
        <v>1</v>
      </c>
    </row>
    <row r="196" spans="1:9">
      <c r="A196" t="s">
        <v>260</v>
      </c>
      <c r="B196" t="s">
        <v>262</v>
      </c>
      <c r="C196" t="s">
        <v>247</v>
      </c>
      <c r="D196" t="s">
        <v>245</v>
      </c>
      <c r="F196" t="s">
        <v>242</v>
      </c>
      <c r="H196" t="s">
        <v>259</v>
      </c>
      <c r="I196">
        <v>2</v>
      </c>
    </row>
    <row r="197" spans="1:9">
      <c r="B197" t="s">
        <v>263</v>
      </c>
      <c r="C197" t="s">
        <v>264</v>
      </c>
      <c r="H197" t="s">
        <v>262</v>
      </c>
      <c r="I197">
        <v>3</v>
      </c>
    </row>
    <row r="198" spans="1:9">
      <c r="B198" t="s">
        <v>265</v>
      </c>
      <c r="H198" t="s">
        <v>263</v>
      </c>
    </row>
    <row r="199" spans="1:9">
      <c r="B199" t="s">
        <v>266</v>
      </c>
      <c r="H199" t="s">
        <v>265</v>
      </c>
    </row>
    <row r="200" spans="1:9">
      <c r="B200" t="s">
        <v>267</v>
      </c>
      <c r="H200" t="s">
        <v>266</v>
      </c>
    </row>
    <row r="201" spans="1:9">
      <c r="H201" t="s">
        <v>267</v>
      </c>
    </row>
    <row r="204" spans="1:9">
      <c r="A204" t="s">
        <v>268</v>
      </c>
      <c r="B204" t="s">
        <v>269</v>
      </c>
      <c r="D204" t="s">
        <v>93</v>
      </c>
      <c r="E204" t="s">
        <v>270</v>
      </c>
      <c r="F204" t="s">
        <v>271</v>
      </c>
    </row>
    <row r="205" spans="1:9">
      <c r="B205" t="s">
        <v>90</v>
      </c>
      <c r="C205" s="16"/>
    </row>
    <row r="206" spans="1:9">
      <c r="B206" t="s">
        <v>272</v>
      </c>
      <c r="C206" s="16" t="s">
        <v>273</v>
      </c>
    </row>
    <row r="207" spans="1:9">
      <c r="B207" t="s">
        <v>274</v>
      </c>
      <c r="C207" s="17" t="s">
        <v>275</v>
      </c>
    </row>
    <row r="208" spans="1:9">
      <c r="B208" t="s">
        <v>276</v>
      </c>
    </row>
    <row r="210" spans="1:4">
      <c r="A210" t="s">
        <v>277</v>
      </c>
      <c r="B210" t="s">
        <v>109</v>
      </c>
      <c r="C210" t="s">
        <v>136</v>
      </c>
    </row>
    <row r="211" spans="1:4">
      <c r="A211" t="s">
        <v>105</v>
      </c>
      <c r="B211" t="s">
        <v>110</v>
      </c>
      <c r="C211" t="s">
        <v>278</v>
      </c>
      <c r="D211">
        <v>0</v>
      </c>
    </row>
    <row r="212" spans="1:4">
      <c r="A212" t="s">
        <v>279</v>
      </c>
      <c r="B212" t="s">
        <v>280</v>
      </c>
      <c r="C212" t="s">
        <v>281</v>
      </c>
      <c r="D212">
        <v>0</v>
      </c>
    </row>
    <row r="213" spans="1:4">
      <c r="C213" t="s">
        <v>282</v>
      </c>
      <c r="D213">
        <v>500</v>
      </c>
    </row>
    <row r="218" spans="1:4">
      <c r="A218" t="s">
        <v>283</v>
      </c>
    </row>
    <row r="219" spans="1:4">
      <c r="A219" t="s">
        <v>56</v>
      </c>
      <c r="B219">
        <v>0</v>
      </c>
    </row>
    <row r="220" spans="1:4">
      <c r="A220" t="s">
        <v>284</v>
      </c>
      <c r="B220">
        <v>200</v>
      </c>
    </row>
    <row r="223" spans="1:4">
      <c r="A223" t="s">
        <v>285</v>
      </c>
    </row>
    <row r="224" spans="1:4">
      <c r="A224" t="s">
        <v>118</v>
      </c>
    </row>
    <row r="225" spans="1:1">
      <c r="A225" t="s">
        <v>236</v>
      </c>
    </row>
    <row r="226" spans="1:1">
      <c r="A226" t="s">
        <v>286</v>
      </c>
    </row>
    <row r="227" spans="1:1">
      <c r="A227" t="s">
        <v>231</v>
      </c>
    </row>
    <row r="228" spans="1:1">
      <c r="A228" t="s">
        <v>287</v>
      </c>
    </row>
    <row r="229" spans="1:1">
      <c r="A229" t="s">
        <v>288</v>
      </c>
    </row>
    <row r="233" spans="1:1">
      <c r="A233" t="s">
        <v>289</v>
      </c>
    </row>
    <row r="234" spans="1:1">
      <c r="A234" t="s">
        <v>118</v>
      </c>
    </row>
    <row r="235" spans="1:1">
      <c r="A235" t="s">
        <v>236</v>
      </c>
    </row>
    <row r="236" spans="1:1">
      <c r="A236" t="s">
        <v>286</v>
      </c>
    </row>
    <row r="237" spans="1:1">
      <c r="A237" t="s">
        <v>231</v>
      </c>
    </row>
    <row r="238" spans="1:1">
      <c r="A238" t="s">
        <v>287</v>
      </c>
    </row>
    <row r="239" spans="1:1">
      <c r="A239" t="s">
        <v>288</v>
      </c>
    </row>
    <row r="243" spans="1:2">
      <c r="A243" t="s">
        <v>290</v>
      </c>
    </row>
    <row r="244" spans="1:2">
      <c r="A244" t="s">
        <v>114</v>
      </c>
      <c r="B244">
        <v>0</v>
      </c>
    </row>
    <row r="245" spans="1:2">
      <c r="A245" t="s">
        <v>291</v>
      </c>
      <c r="B245">
        <v>5000</v>
      </c>
    </row>
    <row r="246" spans="1:2">
      <c r="A246" t="s">
        <v>292</v>
      </c>
      <c r="B246">
        <v>5000</v>
      </c>
    </row>
    <row r="247" spans="1:2">
      <c r="A247" t="s">
        <v>293</v>
      </c>
      <c r="B247">
        <v>5000</v>
      </c>
    </row>
    <row r="248" spans="1:2">
      <c r="A248" t="s">
        <v>294</v>
      </c>
      <c r="B248">
        <v>5000</v>
      </c>
    </row>
    <row r="249" spans="1:2">
      <c r="A249" t="s">
        <v>295</v>
      </c>
      <c r="B249">
        <v>5000</v>
      </c>
    </row>
    <row r="250" spans="1:2">
      <c r="A250" t="s">
        <v>296</v>
      </c>
      <c r="B250">
        <v>5000</v>
      </c>
    </row>
    <row r="251" spans="1:2">
      <c r="A251" t="s">
        <v>297</v>
      </c>
      <c r="B251">
        <v>5000</v>
      </c>
    </row>
    <row r="252" spans="1:2">
      <c r="A252" t="s">
        <v>298</v>
      </c>
      <c r="B252">
        <v>5000</v>
      </c>
    </row>
    <row r="255" spans="1:2">
      <c r="A255" t="s">
        <v>136</v>
      </c>
    </row>
    <row r="256" ht="90" customHeight="1" spans="1:2">
      <c r="A256" t="s">
        <v>107</v>
      </c>
    </row>
    <row r="257" ht="90" customHeight="1" spans="1:3">
      <c r="A257" t="s">
        <v>134</v>
      </c>
    </row>
    <row r="258" ht="90" customHeight="1" spans="1:3">
      <c r="A258" t="s">
        <v>137</v>
      </c>
    </row>
    <row r="261" spans="1:3">
      <c r="A261" t="s">
        <v>299</v>
      </c>
    </row>
    <row r="262" spans="1:3">
      <c r="A262" s="4" t="s">
        <v>300</v>
      </c>
      <c r="B262">
        <v>0</v>
      </c>
      <c r="C262">
        <v>0</v>
      </c>
    </row>
    <row r="263" spans="1:3">
      <c r="A263" t="s">
        <v>301</v>
      </c>
      <c r="B263">
        <v>10000</v>
      </c>
      <c r="C263">
        <v>0</v>
      </c>
    </row>
    <row r="264" spans="1:3">
      <c r="A264" t="s">
        <v>116</v>
      </c>
      <c r="B264">
        <v>0</v>
      </c>
      <c r="C264">
        <v>0</v>
      </c>
    </row>
    <row r="265" spans="1:3">
      <c r="A265" t="s">
        <v>302</v>
      </c>
      <c r="B265">
        <v>10000</v>
      </c>
      <c r="C265">
        <v>5000</v>
      </c>
    </row>
    <row r="266" spans="1:3">
      <c r="A266" t="s">
        <v>303</v>
      </c>
      <c r="B266">
        <v>10000</v>
      </c>
      <c r="C266">
        <v>5000</v>
      </c>
    </row>
    <row r="271" ht="18.4" spans="1:3">
      <c r="A271" s="18" t="s">
        <v>304</v>
      </c>
    </row>
    <row r="272" ht="18.4" spans="1:3">
      <c r="A272" s="19" t="s">
        <v>125</v>
      </c>
      <c r="B272" s="12">
        <v>0</v>
      </c>
    </row>
    <row r="273" ht="18.4" spans="1:2">
      <c r="A273" s="19" t="s">
        <v>122</v>
      </c>
      <c r="B273" s="12">
        <v>0</v>
      </c>
    </row>
    <row r="274" ht="18.4" spans="1:2">
      <c r="A274" s="19" t="s">
        <v>305</v>
      </c>
      <c r="B274" s="12">
        <v>1000</v>
      </c>
    </row>
    <row r="275" spans="1:2">
      <c r="A275" s="12" t="s">
        <v>306</v>
      </c>
      <c r="B275" s="12">
        <v>0</v>
      </c>
    </row>
    <row r="280" spans="1:2">
      <c r="A280" t="s">
        <v>307</v>
      </c>
    </row>
    <row r="281" spans="1:2">
      <c r="A281" t="s">
        <v>3</v>
      </c>
    </row>
    <row r="282" spans="1:2">
      <c r="A282" t="s">
        <v>308</v>
      </c>
    </row>
    <row r="283" spans="1:2">
      <c r="A283" t="s">
        <v>309</v>
      </c>
    </row>
    <row r="284" spans="1:2">
      <c r="A284" t="s">
        <v>310</v>
      </c>
    </row>
    <row r="285" spans="1:2">
      <c r="A285" t="s">
        <v>311</v>
      </c>
    </row>
    <row r="286" spans="1:2">
      <c r="A286" t="s">
        <v>312</v>
      </c>
    </row>
    <row r="287" spans="1:2">
      <c r="A287" t="s">
        <v>313</v>
      </c>
    </row>
    <row r="288" spans="1:2">
      <c r="A288" t="s">
        <v>314</v>
      </c>
    </row>
    <row r="289" spans="1:2">
      <c r="A289" t="s">
        <v>315</v>
      </c>
    </row>
    <row r="290" spans="1:2">
      <c r="A290" t="s">
        <v>316</v>
      </c>
    </row>
    <row r="293" spans="1:2">
      <c r="A293" t="s">
        <v>317</v>
      </c>
      <c r="B293" t="s">
        <v>318</v>
      </c>
    </row>
    <row r="294" spans="1:2">
      <c r="B294" t="s">
        <v>319</v>
      </c>
    </row>
    <row r="301" spans="1:2">
      <c r="A301" t="s">
        <v>320</v>
      </c>
    </row>
    <row r="302" spans="1:2">
      <c r="A302" t="s">
        <v>56</v>
      </c>
      <c r="B302">
        <v>0</v>
      </c>
    </row>
    <row r="303" spans="1:2">
      <c r="A303" t="s">
        <v>284</v>
      </c>
      <c r="B303">
        <v>300</v>
      </c>
    </row>
    <row r="308" spans="1:9">
      <c r="A308" t="s">
        <v>321</v>
      </c>
      <c r="B308" t="s">
        <v>322</v>
      </c>
    </row>
    <row r="309" spans="1:9">
      <c r="A309" t="s">
        <v>125</v>
      </c>
      <c r="B309" t="s">
        <v>125</v>
      </c>
    </row>
    <row r="310" spans="1:9">
      <c r="A310" t="s">
        <v>306</v>
      </c>
      <c r="B310" t="s">
        <v>306</v>
      </c>
    </row>
    <row r="318" spans="1:9">
      <c r="A318" t="s">
        <v>250</v>
      </c>
    </row>
    <row r="319" spans="1:9">
      <c r="A319">
        <v>1</v>
      </c>
      <c r="B319">
        <v>1</v>
      </c>
      <c r="C319">
        <v>1</v>
      </c>
      <c r="I319">
        <v>840</v>
      </c>
    </row>
    <row r="320" spans="1:9">
      <c r="A320">
        <v>2</v>
      </c>
      <c r="B320">
        <v>2</v>
      </c>
      <c r="C320">
        <v>2</v>
      </c>
      <c r="I320">
        <v>1680</v>
      </c>
    </row>
    <row r="321" spans="1:15">
      <c r="A321">
        <v>3</v>
      </c>
      <c r="B321">
        <v>3</v>
      </c>
      <c r="C321">
        <v>3</v>
      </c>
      <c r="I321">
        <v>2520</v>
      </c>
    </row>
    <row r="322" spans="1:15">
      <c r="A322">
        <v>4</v>
      </c>
      <c r="B322">
        <v>4</v>
      </c>
      <c r="C322">
        <v>4</v>
      </c>
      <c r="I322">
        <v>3360</v>
      </c>
    </row>
    <row r="323" spans="1:15">
      <c r="I323">
        <v>4200</v>
      </c>
    </row>
    <row r="328" spans="1:15">
      <c r="A328" t="s">
        <v>250</v>
      </c>
      <c r="B328" t="s">
        <v>251</v>
      </c>
      <c r="C328" t="s">
        <v>244</v>
      </c>
      <c r="D328" t="s">
        <v>245</v>
      </c>
      <c r="F328" t="s">
        <v>250</v>
      </c>
      <c r="H328" t="s">
        <v>251</v>
      </c>
      <c r="J328" t="s">
        <v>244</v>
      </c>
      <c r="L328" t="s">
        <v>245</v>
      </c>
      <c r="N328" t="s">
        <v>253</v>
      </c>
    </row>
    <row r="329" spans="1:15">
      <c r="A329" s="6">
        <v>1</v>
      </c>
      <c r="B329" t="s">
        <v>56</v>
      </c>
      <c r="C329">
        <v>1</v>
      </c>
      <c r="D329">
        <v>1</v>
      </c>
      <c r="F329" s="6">
        <v>1</v>
      </c>
      <c r="G329">
        <v>0</v>
      </c>
      <c r="H329" t="s">
        <v>56</v>
      </c>
      <c r="I329">
        <v>0</v>
      </c>
      <c r="J329">
        <v>1</v>
      </c>
      <c r="K329">
        <v>840</v>
      </c>
      <c r="L329">
        <v>1</v>
      </c>
      <c r="M329">
        <v>840</v>
      </c>
      <c r="N329">
        <v>1</v>
      </c>
      <c r="O329">
        <v>840</v>
      </c>
    </row>
    <row r="330" spans="1:15">
      <c r="A330" s="6">
        <v>2</v>
      </c>
      <c r="B330" s="6">
        <v>1</v>
      </c>
      <c r="C330">
        <v>2</v>
      </c>
      <c r="D330">
        <v>2</v>
      </c>
      <c r="F330" s="6">
        <v>2</v>
      </c>
      <c r="G330">
        <v>840</v>
      </c>
      <c r="H330">
        <v>1</v>
      </c>
      <c r="I330">
        <v>840</v>
      </c>
      <c r="J330">
        <v>2</v>
      </c>
      <c r="K330">
        <v>1680</v>
      </c>
      <c r="L330">
        <v>2</v>
      </c>
      <c r="M330">
        <v>1680</v>
      </c>
      <c r="N330">
        <v>2</v>
      </c>
      <c r="O330">
        <v>1680</v>
      </c>
    </row>
    <row r="331" spans="1:15">
      <c r="A331" s="6">
        <v>3</v>
      </c>
      <c r="B331" s="6">
        <v>2</v>
      </c>
      <c r="C331">
        <v>3</v>
      </c>
      <c r="D331">
        <v>3</v>
      </c>
      <c r="F331" s="6">
        <v>3</v>
      </c>
      <c r="G331">
        <v>1680</v>
      </c>
      <c r="H331">
        <v>2</v>
      </c>
      <c r="I331">
        <v>1680</v>
      </c>
      <c r="J331">
        <v>3</v>
      </c>
      <c r="K331">
        <v>2520</v>
      </c>
      <c r="L331">
        <v>3</v>
      </c>
      <c r="M331">
        <v>2520</v>
      </c>
      <c r="N331">
        <v>3</v>
      </c>
      <c r="O331">
        <v>2520</v>
      </c>
    </row>
    <row r="332" spans="1:15">
      <c r="B332" s="6">
        <v>3</v>
      </c>
      <c r="C332">
        <v>4</v>
      </c>
      <c r="D332">
        <v>4</v>
      </c>
      <c r="H332">
        <v>3</v>
      </c>
      <c r="I332">
        <v>2520</v>
      </c>
      <c r="J332">
        <v>4</v>
      </c>
      <c r="K332">
        <v>3360</v>
      </c>
      <c r="L332">
        <v>4</v>
      </c>
      <c r="M332">
        <v>3360</v>
      </c>
    </row>
    <row r="333" spans="1:15">
      <c r="B333" s="6">
        <v>4</v>
      </c>
      <c r="H333">
        <v>4</v>
      </c>
      <c r="I333">
        <v>3360</v>
      </c>
    </row>
    <row r="336" spans="1:15">
      <c r="A336" t="s">
        <v>323</v>
      </c>
      <c r="B336" t="s">
        <v>324</v>
      </c>
    </row>
    <row r="337" spans="1:2">
      <c r="A337" t="s">
        <v>325</v>
      </c>
      <c r="B337" t="s">
        <v>326</v>
      </c>
    </row>
    <row r="338" spans="1:2">
      <c r="A338" t="s">
        <v>327</v>
      </c>
      <c r="B338" t="s">
        <v>328</v>
      </c>
    </row>
    <row r="339" spans="1:2">
      <c r="A339" t="s">
        <v>329</v>
      </c>
    </row>
    <row r="340" spans="1:2">
      <c r="A340" t="s">
        <v>330</v>
      </c>
    </row>
    <row r="341" spans="1:2">
      <c r="A341" t="s">
        <v>331</v>
      </c>
    </row>
    <row r="342" spans="1:2">
      <c r="A342" t="s">
        <v>332</v>
      </c>
    </row>
    <row r="343" spans="1:2">
      <c r="A343" t="s">
        <v>333</v>
      </c>
    </row>
    <row r="344" spans="1:2">
      <c r="A344" t="s">
        <v>334</v>
      </c>
    </row>
    <row r="345" spans="1:2">
      <c r="A345" t="s">
        <v>335</v>
      </c>
    </row>
    <row r="346" spans="1:2">
      <c r="A346" t="s">
        <v>336</v>
      </c>
    </row>
    <row r="347" spans="1:2">
      <c r="A347" t="s">
        <v>337</v>
      </c>
    </row>
    <row r="348" spans="1:2">
      <c r="A348" t="s">
        <v>338</v>
      </c>
    </row>
    <row r="349" spans="1:2">
      <c r="A349" t="s">
        <v>339</v>
      </c>
    </row>
    <row r="350" spans="1:2">
      <c r="A350" t="s">
        <v>340</v>
      </c>
    </row>
    <row r="351" spans="1:2">
      <c r="A351" t="s">
        <v>341</v>
      </c>
    </row>
    <row r="352" spans="1:2">
      <c r="A352" t="s">
        <v>342</v>
      </c>
    </row>
    <row r="353" spans="1:1">
      <c r="A353" t="s">
        <v>343</v>
      </c>
    </row>
    <row r="354" spans="1:1">
      <c r="A354" t="s">
        <v>344</v>
      </c>
    </row>
    <row r="355" spans="1:1">
      <c r="A355" t="s">
        <v>345</v>
      </c>
    </row>
    <row r="356" spans="1:1">
      <c r="A356" t="s">
        <v>346</v>
      </c>
    </row>
    <row r="357" spans="1:1">
      <c r="A357" t="s">
        <v>347</v>
      </c>
    </row>
    <row r="358" spans="1:1">
      <c r="A358" t="s">
        <v>348</v>
      </c>
    </row>
    <row r="359" spans="1:1">
      <c r="A359" t="s">
        <v>349</v>
      </c>
    </row>
    <row r="360" spans="1:1">
      <c r="A360" t="s">
        <v>350</v>
      </c>
    </row>
    <row r="361" spans="1:1">
      <c r="A361" t="s">
        <v>351</v>
      </c>
    </row>
    <row r="362" spans="1:1">
      <c r="A362" t="s">
        <v>352</v>
      </c>
    </row>
    <row r="363" spans="1:1">
      <c r="A363" t="s">
        <v>353</v>
      </c>
    </row>
    <row r="364" spans="1:1">
      <c r="A364" t="s">
        <v>354</v>
      </c>
    </row>
    <row r="365" spans="1:1">
      <c r="A365" t="s">
        <v>355</v>
      </c>
    </row>
    <row r="366" spans="1:1">
      <c r="A366" t="s">
        <v>356</v>
      </c>
    </row>
    <row r="367" spans="1:1">
      <c r="A367" t="s">
        <v>357</v>
      </c>
    </row>
    <row r="368" spans="1:1">
      <c r="A368" t="s">
        <v>358</v>
      </c>
    </row>
    <row r="369" spans="1:2">
      <c r="A369" t="s">
        <v>359</v>
      </c>
    </row>
    <row r="370" spans="1:2">
      <c r="A370" t="s">
        <v>360</v>
      </c>
    </row>
    <row r="371" spans="1:2">
      <c r="A371" t="s">
        <v>361</v>
      </c>
    </row>
    <row r="372" spans="1:2">
      <c r="A372" t="s">
        <v>362</v>
      </c>
    </row>
    <row r="376" spans="1:2">
      <c r="A376" t="s">
        <v>112</v>
      </c>
    </row>
    <row r="377" spans="1:2">
      <c r="A377" t="s">
        <v>44</v>
      </c>
      <c r="B377">
        <v>0</v>
      </c>
    </row>
    <row r="378" spans="1:2">
      <c r="A378" t="s">
        <v>363</v>
      </c>
      <c r="B378">
        <v>1000</v>
      </c>
    </row>
    <row r="379" spans="1:2">
      <c r="A379" t="s">
        <v>364</v>
      </c>
      <c r="B379">
        <v>2000</v>
      </c>
    </row>
    <row r="381" spans="1:2">
      <c r="A381" s="20">
        <f ca="1">NOW()</f>
        <v>46158.3184953704</v>
      </c>
    </row>
    <row r="386" spans="1:1">
      <c r="A386" t="s">
        <v>365</v>
      </c>
    </row>
    <row r="387" spans="1:1">
      <c r="A387" t="s">
        <v>366</v>
      </c>
    </row>
    <row r="388" spans="1:1">
      <c r="A388" t="s">
        <v>367</v>
      </c>
    </row>
    <row r="389" spans="1:1">
      <c r="A389" t="s">
        <v>368</v>
      </c>
    </row>
  </sheetData>
  <sheetProtection algorithmName="SHA-512" hashValue="veJ4xPwFms+BAwQHENgSACJcYIGOxeeyWUWe1prJeNPJ/C19QqF6erjLZoMutuNiv/frQyaNTyaVp9JYfzDHyA==" saltValue="RtRY+26BYDr688Hc/IbUWQ==" spinCount="100000" sheet="1" selectLockedCells="1" selectUnlockedCells="1" objects="1" scenarios="1"/>
  <dataValidations count="1">
    <dataValidation allowBlank="1" showInputMessage="1" showErrorMessage="1" sqref="A302"/>
  </dataValidations>
  <pageMargins left="0.7" right="0.7"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AM83"/>
  <sheetViews>
    <sheetView topLeftCell="A75" workbookViewId="0">
      <selection activeCell="P31" sqref="P31"/>
    </sheetView>
  </sheetViews>
  <sheetFormatPr defaultColWidth="9" defaultRowHeight="14.1"/>
  <cols>
    <col min="1" max="1" width="20" style="1" customWidth="1"/>
    <col min="2" max="2" width="31.6126126126126" customWidth="1"/>
    <col min="3" max="3" width="13.4594594594595" customWidth="1"/>
    <col min="4" max="4" width="14.8468468468468" customWidth="1"/>
    <col min="5" max="5" width="10.0720720720721" customWidth="1"/>
    <col min="11" max="11" width="12.9189189189189" customWidth="1"/>
    <col min="15" max="15" width="13.0720720720721" customWidth="1"/>
    <col min="16" max="16" width="32.9189189189189" customWidth="1"/>
    <col min="18" max="18" width="16.6936936936937" customWidth="1"/>
    <col min="23" max="23" width="37.6936936936937" customWidth="1"/>
    <col min="26" max="26" width="42" customWidth="1"/>
    <col min="28" max="28" width="101" customWidth="1"/>
  </cols>
  <sheetData>
    <row r="1" ht="14.15" spans="1:39">
      <c r="A1" s="1" t="s">
        <v>369</v>
      </c>
      <c r="B1" t="s">
        <v>39</v>
      </c>
      <c r="O1" s="2" t="s">
        <v>370</v>
      </c>
      <c r="P1" s="3" t="s">
        <v>371</v>
      </c>
      <c r="R1" t="s">
        <v>372</v>
      </c>
      <c r="S1" t="s">
        <v>373</v>
      </c>
      <c r="T1" t="s">
        <v>374</v>
      </c>
      <c r="U1" t="s">
        <v>375</v>
      </c>
      <c r="V1" t="s">
        <v>376</v>
      </c>
      <c r="W1" t="s">
        <v>3</v>
      </c>
      <c r="X1" t="s">
        <v>377</v>
      </c>
      <c r="Y1" t="s">
        <v>378</v>
      </c>
      <c r="Z1" t="s">
        <v>379</v>
      </c>
      <c r="AA1" t="s">
        <v>380</v>
      </c>
      <c r="AB1" t="str">
        <f>Y1&amp;V1&amp;Z1&amp;X1&amp;AA1</f>
        <v>Range("D2:R2").Value = ThisWorkbook.Sheets("Data Source").Range("W1").Value</v>
      </c>
    </row>
    <row r="2" ht="14.15" spans="1:39">
      <c r="B2" t="s">
        <v>381</v>
      </c>
      <c r="D2" s="4"/>
      <c r="E2" s="4"/>
      <c r="F2" s="4"/>
      <c r="G2" s="4"/>
      <c r="H2" s="4"/>
      <c r="I2" s="4"/>
      <c r="J2" s="4"/>
      <c r="K2" s="4"/>
      <c r="L2" s="4"/>
      <c r="M2" s="4"/>
      <c r="N2" s="4"/>
      <c r="O2" s="5"/>
      <c r="P2" s="5" t="s">
        <v>382</v>
      </c>
      <c r="Q2" s="4"/>
      <c r="R2" t="s">
        <v>383</v>
      </c>
      <c r="S2" t="s">
        <v>384</v>
      </c>
      <c r="T2" t="s">
        <v>385</v>
      </c>
      <c r="U2" t="s">
        <v>375</v>
      </c>
      <c r="V2" t="s">
        <v>386</v>
      </c>
      <c r="X2" t="s">
        <v>387</v>
      </c>
      <c r="Y2" t="s">
        <v>378</v>
      </c>
      <c r="Z2" t="s">
        <v>379</v>
      </c>
      <c r="AA2" t="s">
        <v>380</v>
      </c>
      <c r="AB2" t="str">
        <f t="shared" ref="AB2:AB65" si="0">Y2&amp;V2&amp;Z2&amp;X2&amp;AA2</f>
        <v>Range("Z2:AJ2").Value = ThisWorkbook.Sheets("Data Source").Range("W2").Value</v>
      </c>
      <c r="AC2" s="4"/>
      <c r="AD2" s="4"/>
      <c r="AE2" s="4"/>
      <c r="AF2" s="4"/>
      <c r="AG2" s="4"/>
      <c r="AH2" s="4"/>
      <c r="AI2" s="4"/>
      <c r="AJ2" s="4"/>
      <c r="AK2" s="4"/>
      <c r="AL2" s="4"/>
      <c r="AM2" s="4"/>
    </row>
    <row r="3" spans="1:39">
      <c r="B3" t="s">
        <v>388</v>
      </c>
      <c r="D3" s="4"/>
      <c r="E3" s="4"/>
      <c r="F3" s="4"/>
      <c r="G3" s="4"/>
      <c r="H3" s="4"/>
      <c r="I3" s="4"/>
      <c r="J3" s="4"/>
      <c r="K3" s="4"/>
      <c r="L3" s="4"/>
      <c r="M3" s="4"/>
      <c r="N3" s="4"/>
      <c r="O3" s="5"/>
      <c r="P3" s="4"/>
      <c r="Q3" s="4"/>
      <c r="R3" t="s">
        <v>389</v>
      </c>
      <c r="S3" t="s">
        <v>390</v>
      </c>
      <c r="T3" t="s">
        <v>391</v>
      </c>
      <c r="U3" t="s">
        <v>375</v>
      </c>
      <c r="V3" t="s">
        <v>392</v>
      </c>
      <c r="X3" t="s">
        <v>393</v>
      </c>
      <c r="Y3" t="s">
        <v>378</v>
      </c>
      <c r="Z3" t="s">
        <v>379</v>
      </c>
      <c r="AA3" t="s">
        <v>380</v>
      </c>
      <c r="AB3" t="str">
        <f t="shared" si="0"/>
        <v>Range("D3:R3").Value = ThisWorkbook.Sheets("Data Source").Range("W3").Value</v>
      </c>
      <c r="AC3" s="4"/>
      <c r="AD3" s="4"/>
      <c r="AE3" s="4"/>
      <c r="AF3" s="4"/>
      <c r="AG3" s="4"/>
      <c r="AH3" s="4"/>
      <c r="AI3" s="4"/>
      <c r="AJ3" s="4"/>
      <c r="AK3" s="4"/>
      <c r="AL3" s="4"/>
      <c r="AM3" s="4"/>
    </row>
    <row r="4" spans="1:39">
      <c r="B4" t="s">
        <v>394</v>
      </c>
      <c r="O4" s="3"/>
      <c r="P4" t="s">
        <v>395</v>
      </c>
      <c r="R4" t="s">
        <v>396</v>
      </c>
      <c r="S4" t="s">
        <v>397</v>
      </c>
      <c r="T4" t="s">
        <v>398</v>
      </c>
      <c r="U4" t="s">
        <v>375</v>
      </c>
      <c r="V4" t="s">
        <v>399</v>
      </c>
      <c r="X4" t="s">
        <v>400</v>
      </c>
      <c r="Y4" t="s">
        <v>378</v>
      </c>
      <c r="Z4" t="s">
        <v>379</v>
      </c>
      <c r="AA4" t="s">
        <v>380</v>
      </c>
      <c r="AB4" t="str">
        <f t="shared" si="0"/>
        <v>Range("Z3:AJ3").Value = ThisWorkbook.Sheets("Data Source").Range("W4").Value</v>
      </c>
    </row>
    <row r="5" spans="1:39">
      <c r="D5" s="4"/>
      <c r="E5" s="4"/>
      <c r="F5" s="4"/>
      <c r="G5" s="4"/>
      <c r="H5" s="4"/>
      <c r="I5" s="4"/>
      <c r="J5" s="4"/>
      <c r="K5" s="4"/>
      <c r="L5" s="4"/>
      <c r="M5" s="4"/>
      <c r="N5" s="4"/>
      <c r="O5" s="4"/>
      <c r="P5" s="4"/>
      <c r="Q5" s="4"/>
      <c r="R5" t="s">
        <v>401</v>
      </c>
      <c r="S5" t="s">
        <v>402</v>
      </c>
      <c r="T5" t="s">
        <v>403</v>
      </c>
      <c r="U5" t="s">
        <v>375</v>
      </c>
      <c r="V5" t="s">
        <v>404</v>
      </c>
      <c r="X5" t="s">
        <v>405</v>
      </c>
      <c r="Y5" s="4" t="s">
        <v>378</v>
      </c>
      <c r="Z5" s="4" t="s">
        <v>379</v>
      </c>
      <c r="AA5" s="4" t="s">
        <v>380</v>
      </c>
      <c r="AB5" t="str">
        <f t="shared" si="0"/>
        <v>Range("D5:R5").Value = ThisWorkbook.Sheets("Data Source").Range("W5").Value</v>
      </c>
      <c r="AC5" s="4"/>
      <c r="AD5" s="4"/>
      <c r="AE5" s="4"/>
      <c r="AF5" s="4"/>
      <c r="AG5" s="4"/>
      <c r="AH5" s="4"/>
      <c r="AI5" s="4"/>
      <c r="AJ5" s="4"/>
      <c r="AK5" s="4"/>
      <c r="AL5" s="4"/>
      <c r="AM5" s="4"/>
    </row>
    <row r="6" spans="1:39">
      <c r="A6" s="1" t="s">
        <v>406</v>
      </c>
      <c r="B6" s="6" t="s">
        <v>41</v>
      </c>
      <c r="D6" s="4"/>
      <c r="E6" s="4"/>
      <c r="F6" s="4"/>
      <c r="G6" s="4"/>
      <c r="H6" s="4"/>
      <c r="I6" s="4"/>
      <c r="J6" s="4"/>
      <c r="K6" s="4"/>
      <c r="L6" s="4"/>
      <c r="M6" s="4"/>
      <c r="N6" s="4"/>
      <c r="O6" s="4"/>
      <c r="P6" s="4"/>
      <c r="Q6" s="4"/>
      <c r="R6" t="s">
        <v>407</v>
      </c>
      <c r="S6" t="s">
        <v>408</v>
      </c>
      <c r="T6" t="s">
        <v>409</v>
      </c>
      <c r="U6" t="s">
        <v>375</v>
      </c>
      <c r="V6" t="s">
        <v>410</v>
      </c>
      <c r="X6" t="s">
        <v>411</v>
      </c>
      <c r="Y6" s="4" t="s">
        <v>378</v>
      </c>
      <c r="Z6" s="4" t="s">
        <v>379</v>
      </c>
      <c r="AA6" s="4" t="s">
        <v>380</v>
      </c>
      <c r="AB6" t="str">
        <f t="shared" si="0"/>
        <v>Range("V5:AJ5").Value = ThisWorkbook.Sheets("Data Source").Range("W6").Value</v>
      </c>
      <c r="AC6" s="4"/>
      <c r="AD6" s="4"/>
      <c r="AE6" s="4"/>
      <c r="AF6" s="4"/>
      <c r="AG6" s="4"/>
      <c r="AH6" s="4"/>
      <c r="AI6" s="4"/>
      <c r="AJ6" s="4"/>
      <c r="AK6" s="4"/>
      <c r="AL6" s="4"/>
      <c r="AM6" s="4"/>
    </row>
    <row r="7" spans="1:39">
      <c r="B7" s="6" t="s">
        <v>412</v>
      </c>
      <c r="R7" t="s">
        <v>413</v>
      </c>
      <c r="S7" t="s">
        <v>414</v>
      </c>
      <c r="T7" t="s">
        <v>415</v>
      </c>
      <c r="U7" t="s">
        <v>375</v>
      </c>
      <c r="V7" t="s">
        <v>416</v>
      </c>
      <c r="X7" t="s">
        <v>417</v>
      </c>
      <c r="Y7" t="s">
        <v>378</v>
      </c>
      <c r="Z7" t="s">
        <v>379</v>
      </c>
      <c r="AA7" t="s">
        <v>380</v>
      </c>
      <c r="AB7" t="str">
        <f t="shared" si="0"/>
        <v>Range("D6:AJ6").Value = ThisWorkbook.Sheets("Data Source").Range("W7").Value</v>
      </c>
    </row>
    <row r="8" spans="1:39">
      <c r="B8" s="6" t="s">
        <v>418</v>
      </c>
      <c r="D8" s="4"/>
      <c r="E8" s="4"/>
      <c r="F8" s="4"/>
      <c r="G8" s="4"/>
      <c r="H8" s="4"/>
      <c r="I8" s="4"/>
      <c r="J8" s="4"/>
      <c r="K8" s="4"/>
      <c r="L8" s="4"/>
      <c r="M8" s="4"/>
      <c r="N8" s="4"/>
      <c r="O8" s="4"/>
      <c r="P8" s="4"/>
      <c r="Q8" s="4"/>
      <c r="R8" t="s">
        <v>419</v>
      </c>
      <c r="S8" t="s">
        <v>420</v>
      </c>
      <c r="T8" t="s">
        <v>421</v>
      </c>
      <c r="U8" t="s">
        <v>375</v>
      </c>
      <c r="V8" t="s">
        <v>422</v>
      </c>
      <c r="X8" t="s">
        <v>423</v>
      </c>
      <c r="Y8" s="4" t="s">
        <v>378</v>
      </c>
      <c r="Z8" s="4" t="s">
        <v>379</v>
      </c>
      <c r="AA8" s="4" t="s">
        <v>380</v>
      </c>
      <c r="AB8" t="str">
        <f t="shared" si="0"/>
        <v>Range("H8:AJ8").Value = ThisWorkbook.Sheets("Data Source").Range("W8").Value</v>
      </c>
      <c r="AC8" s="4"/>
      <c r="AD8" s="4"/>
      <c r="AE8" s="4"/>
      <c r="AF8" s="4"/>
      <c r="AG8" s="4"/>
      <c r="AH8" s="4"/>
      <c r="AI8" s="4"/>
      <c r="AJ8" s="4"/>
      <c r="AK8" s="4"/>
      <c r="AL8" s="4"/>
      <c r="AM8" s="4"/>
    </row>
    <row r="9" spans="1:39">
      <c r="D9" s="7"/>
      <c r="E9" s="4"/>
      <c r="F9" s="4"/>
      <c r="G9" s="4"/>
      <c r="H9" s="4"/>
      <c r="I9" s="4"/>
      <c r="J9" s="4"/>
      <c r="K9" s="4"/>
      <c r="L9" s="4"/>
      <c r="M9" s="4"/>
      <c r="N9" s="4"/>
      <c r="O9" s="4"/>
      <c r="P9" s="4"/>
      <c r="Q9" s="4"/>
      <c r="R9" t="s">
        <v>424</v>
      </c>
      <c r="S9" t="s">
        <v>425</v>
      </c>
      <c r="T9" t="s">
        <v>426</v>
      </c>
      <c r="U9" t="s">
        <v>375</v>
      </c>
      <c r="V9" t="s">
        <v>427</v>
      </c>
      <c r="X9" t="s">
        <v>428</v>
      </c>
      <c r="Y9" s="4" t="s">
        <v>378</v>
      </c>
      <c r="Z9" s="4" t="s">
        <v>379</v>
      </c>
      <c r="AA9" s="4" t="s">
        <v>380</v>
      </c>
      <c r="AB9" t="str">
        <f t="shared" si="0"/>
        <v>Range("H9:AJ9").Value = ThisWorkbook.Sheets("Data Source").Range("W9").Value</v>
      </c>
      <c r="AC9" s="4"/>
      <c r="AD9" s="4"/>
      <c r="AE9" s="4"/>
      <c r="AF9" s="4"/>
      <c r="AG9" s="4"/>
      <c r="AH9" s="4"/>
      <c r="AI9" s="4"/>
      <c r="AJ9" s="4"/>
      <c r="AK9" s="4"/>
      <c r="AL9" s="4"/>
      <c r="AM9" s="4"/>
    </row>
    <row r="10" spans="1:39">
      <c r="A10" s="1" t="s">
        <v>429</v>
      </c>
      <c r="B10" s="8">
        <v>380</v>
      </c>
      <c r="C10" s="8">
        <v>208</v>
      </c>
      <c r="D10" s="7">
        <v>220</v>
      </c>
      <c r="E10" s="7">
        <v>400</v>
      </c>
      <c r="F10" s="7">
        <v>415</v>
      </c>
      <c r="G10" s="7">
        <v>440</v>
      </c>
      <c r="H10" s="7">
        <v>480</v>
      </c>
      <c r="I10" s="4" t="s">
        <v>430</v>
      </c>
      <c r="J10" s="4"/>
      <c r="K10" s="4"/>
      <c r="L10" s="4"/>
      <c r="M10" s="4"/>
      <c r="N10" s="4"/>
      <c r="O10" s="4"/>
      <c r="P10" s="4"/>
      <c r="Q10" s="4"/>
      <c r="R10" t="s">
        <v>14</v>
      </c>
      <c r="S10" t="s">
        <v>431</v>
      </c>
      <c r="T10" t="s">
        <v>432</v>
      </c>
      <c r="U10" t="s">
        <v>375</v>
      </c>
      <c r="V10" t="s">
        <v>433</v>
      </c>
      <c r="X10" t="s">
        <v>434</v>
      </c>
      <c r="Y10" t="s">
        <v>378</v>
      </c>
      <c r="Z10" t="s">
        <v>379</v>
      </c>
      <c r="AA10" t="s">
        <v>380</v>
      </c>
      <c r="AB10" t="str">
        <f t="shared" si="0"/>
        <v>Range("H10:R10").Value = ThisWorkbook.Sheets("Data Source").Range("W10").Value</v>
      </c>
      <c r="AC10" s="4"/>
      <c r="AD10" s="4"/>
      <c r="AE10" s="4"/>
      <c r="AF10" s="4"/>
      <c r="AG10" s="4"/>
      <c r="AH10" s="4"/>
      <c r="AI10" s="4"/>
      <c r="AJ10" s="4"/>
      <c r="AK10" s="4"/>
      <c r="AL10" s="4"/>
      <c r="AM10" s="4"/>
    </row>
    <row r="11" spans="1:39">
      <c r="B11" s="8">
        <v>120</v>
      </c>
      <c r="C11" s="8">
        <v>208</v>
      </c>
      <c r="D11" s="7">
        <v>220</v>
      </c>
      <c r="E11" s="7">
        <v>230</v>
      </c>
      <c r="F11" s="7">
        <v>240</v>
      </c>
      <c r="G11" s="7">
        <v>240</v>
      </c>
      <c r="H11" s="4" t="s">
        <v>430</v>
      </c>
      <c r="I11" s="9"/>
      <c r="J11" s="4"/>
      <c r="K11" s="4"/>
      <c r="L11" s="4"/>
      <c r="M11" s="4"/>
      <c r="N11" s="4"/>
      <c r="O11" s="4"/>
      <c r="P11" s="4"/>
      <c r="Q11" s="4"/>
      <c r="R11" t="s">
        <v>16</v>
      </c>
      <c r="S11" t="s">
        <v>435</v>
      </c>
      <c r="T11" t="s">
        <v>436</v>
      </c>
      <c r="U11" t="s">
        <v>375</v>
      </c>
      <c r="V11" t="s">
        <v>437</v>
      </c>
      <c r="X11" t="s">
        <v>438</v>
      </c>
      <c r="Y11" s="4" t="s">
        <v>378</v>
      </c>
      <c r="Z11" s="4" t="s">
        <v>379</v>
      </c>
      <c r="AA11" s="4" t="s">
        <v>380</v>
      </c>
      <c r="AB11" t="str">
        <f t="shared" si="0"/>
        <v>Range("Z10:AJ10").Value = ThisWorkbook.Sheets("Data Source").Range("W11").Value</v>
      </c>
      <c r="AC11" s="4"/>
      <c r="AD11" s="4"/>
      <c r="AE11" s="4"/>
      <c r="AF11" s="4"/>
      <c r="AG11" s="4"/>
      <c r="AH11" s="4"/>
      <c r="AI11" s="4"/>
      <c r="AJ11" s="4"/>
      <c r="AK11" s="4"/>
      <c r="AL11" s="4"/>
      <c r="AM11" s="4"/>
    </row>
    <row r="12" spans="1:39">
      <c r="B12" s="8">
        <v>110</v>
      </c>
      <c r="C12" s="8">
        <v>125</v>
      </c>
      <c r="D12" s="7">
        <v>220</v>
      </c>
      <c r="E12" s="4" t="s">
        <v>430</v>
      </c>
      <c r="F12" s="9"/>
      <c r="G12" s="9"/>
      <c r="H12" s="9"/>
      <c r="I12" s="9"/>
      <c r="J12" s="4"/>
      <c r="K12" s="4"/>
      <c r="L12" s="4"/>
      <c r="M12" s="4"/>
      <c r="N12" s="4"/>
      <c r="O12" s="4"/>
      <c r="P12" s="4"/>
      <c r="Q12" s="4"/>
      <c r="R12" t="s">
        <v>439</v>
      </c>
      <c r="S12" t="s">
        <v>440</v>
      </c>
      <c r="T12" t="s">
        <v>441</v>
      </c>
      <c r="U12" t="s">
        <v>375</v>
      </c>
      <c r="V12" t="s">
        <v>442</v>
      </c>
      <c r="X12" t="s">
        <v>443</v>
      </c>
      <c r="Y12" t="s">
        <v>378</v>
      </c>
      <c r="Z12" t="s">
        <v>379</v>
      </c>
      <c r="AA12" t="s">
        <v>380</v>
      </c>
      <c r="AB12" t="str">
        <f t="shared" si="0"/>
        <v>Range("H11:AJ11").Value = ThisWorkbook.Sheets("Data Source").Range("W12").Value</v>
      </c>
      <c r="AC12" s="4"/>
      <c r="AD12" s="4"/>
      <c r="AE12" s="4"/>
      <c r="AF12" s="4"/>
      <c r="AG12" s="4"/>
      <c r="AH12" s="4"/>
      <c r="AI12" s="4"/>
      <c r="AJ12" s="4"/>
      <c r="AK12" s="4"/>
      <c r="AL12" s="4"/>
      <c r="AM12" s="4"/>
    </row>
    <row r="13" spans="1:39">
      <c r="D13" s="4"/>
      <c r="E13" s="4"/>
      <c r="F13" s="4"/>
      <c r="G13" s="4"/>
      <c r="H13" s="4"/>
      <c r="I13" s="4"/>
      <c r="J13" s="4"/>
      <c r="K13" s="4"/>
      <c r="L13" s="4"/>
      <c r="M13" s="4"/>
      <c r="N13" s="4"/>
      <c r="O13" s="4"/>
      <c r="P13" s="4"/>
      <c r="Q13" s="4"/>
      <c r="R13" t="s">
        <v>444</v>
      </c>
      <c r="S13" t="s">
        <v>445</v>
      </c>
      <c r="T13" t="s">
        <v>446</v>
      </c>
      <c r="U13" t="s">
        <v>375</v>
      </c>
      <c r="V13" t="s">
        <v>447</v>
      </c>
      <c r="X13" t="s">
        <v>448</v>
      </c>
      <c r="Y13" t="s">
        <v>378</v>
      </c>
      <c r="Z13" t="s">
        <v>379</v>
      </c>
      <c r="AA13" t="s">
        <v>380</v>
      </c>
      <c r="AB13" t="str">
        <f t="shared" si="0"/>
        <v>Range("H12:R12").Value = ThisWorkbook.Sheets("Data Source").Range("W13").Value</v>
      </c>
      <c r="AC13" s="4"/>
      <c r="AD13" s="4"/>
      <c r="AE13" s="4"/>
      <c r="AF13" s="4"/>
      <c r="AG13" s="4"/>
      <c r="AH13" s="4"/>
      <c r="AI13" s="4"/>
      <c r="AJ13" s="4"/>
      <c r="AK13" s="4"/>
      <c r="AL13" s="4"/>
      <c r="AM13" s="4"/>
    </row>
    <row r="14" spans="1:39">
      <c r="A14" s="1" t="s">
        <v>449</v>
      </c>
      <c r="B14" t="s">
        <v>47</v>
      </c>
      <c r="D14" s="4"/>
      <c r="E14" s="4"/>
      <c r="F14" s="4"/>
      <c r="G14" s="4"/>
      <c r="H14" s="4"/>
      <c r="I14" s="4"/>
      <c r="J14" s="4"/>
      <c r="K14" s="4"/>
      <c r="L14" s="4"/>
      <c r="M14" s="4"/>
      <c r="N14" s="4"/>
      <c r="O14" s="4"/>
      <c r="P14" s="4"/>
      <c r="Q14" s="4"/>
      <c r="R14" t="s">
        <v>365</v>
      </c>
      <c r="S14" t="s">
        <v>450</v>
      </c>
      <c r="T14" t="s">
        <v>451</v>
      </c>
      <c r="U14" t="s">
        <v>375</v>
      </c>
      <c r="V14" t="s">
        <v>452</v>
      </c>
      <c r="X14" t="s">
        <v>453</v>
      </c>
      <c r="Y14" t="s">
        <v>378</v>
      </c>
      <c r="Z14" t="s">
        <v>379</v>
      </c>
      <c r="AA14" t="s">
        <v>380</v>
      </c>
      <c r="AB14" t="str">
        <f t="shared" si="0"/>
        <v>Range("Z12:AJ11").Value = ThisWorkbook.Sheets("Data Source").Range("W14").Value</v>
      </c>
      <c r="AC14" s="4"/>
      <c r="AD14" s="4"/>
      <c r="AE14" s="4"/>
      <c r="AF14" s="4"/>
      <c r="AG14" s="4"/>
      <c r="AH14" s="4"/>
      <c r="AI14" s="4"/>
      <c r="AJ14" s="4"/>
      <c r="AK14" s="4"/>
      <c r="AL14" s="4"/>
      <c r="AM14" s="4"/>
    </row>
    <row r="15" spans="1:39">
      <c r="B15" t="s">
        <v>454</v>
      </c>
      <c r="R15" t="s">
        <v>455</v>
      </c>
      <c r="S15" t="s">
        <v>456</v>
      </c>
      <c r="T15" t="s">
        <v>457</v>
      </c>
      <c r="U15" t="s">
        <v>375</v>
      </c>
      <c r="V15" t="s">
        <v>458</v>
      </c>
      <c r="X15" t="s">
        <v>459</v>
      </c>
      <c r="Y15" t="s">
        <v>378</v>
      </c>
      <c r="Z15" t="s">
        <v>379</v>
      </c>
      <c r="AA15" t="s">
        <v>380</v>
      </c>
      <c r="AB15" t="str">
        <f t="shared" si="0"/>
        <v>Range("H13:R13").Value = ThisWorkbook.Sheets("Data Source").Range("W15").Value</v>
      </c>
    </row>
    <row r="16" spans="1:39">
      <c r="D16" s="4"/>
      <c r="E16" s="4"/>
      <c r="F16" s="4"/>
      <c r="G16" s="4"/>
      <c r="H16" s="4"/>
      <c r="I16" s="4"/>
      <c r="J16" s="4"/>
      <c r="K16" s="4"/>
      <c r="L16" s="4"/>
      <c r="M16" s="4"/>
      <c r="N16" s="4"/>
      <c r="O16" s="4"/>
      <c r="P16" s="4"/>
      <c r="Q16" s="4"/>
      <c r="R16" t="s">
        <v>460</v>
      </c>
      <c r="S16" t="s">
        <v>461</v>
      </c>
      <c r="T16" t="s">
        <v>462</v>
      </c>
      <c r="U16" t="s">
        <v>375</v>
      </c>
      <c r="V16" t="s">
        <v>463</v>
      </c>
      <c r="X16" t="s">
        <v>464</v>
      </c>
      <c r="Y16" t="s">
        <v>378</v>
      </c>
      <c r="Z16" t="s">
        <v>379</v>
      </c>
      <c r="AA16" t="s">
        <v>380</v>
      </c>
      <c r="AB16" t="str">
        <f t="shared" si="0"/>
        <v>Range("Z13:AJ13").Value = ThisWorkbook.Sheets("Data Source").Range("W16").Value</v>
      </c>
      <c r="AC16" s="4"/>
      <c r="AD16" s="4"/>
      <c r="AE16" s="4"/>
      <c r="AF16" s="4"/>
      <c r="AG16" s="4"/>
      <c r="AH16" s="4"/>
      <c r="AI16" s="4"/>
      <c r="AJ16" s="4"/>
      <c r="AK16" s="4"/>
      <c r="AL16" s="4"/>
      <c r="AM16" s="4"/>
    </row>
    <row r="17" spans="1:39">
      <c r="A17" s="1" t="s">
        <v>465</v>
      </c>
      <c r="B17" t="s">
        <v>165</v>
      </c>
      <c r="C17" t="s">
        <v>166</v>
      </c>
      <c r="D17" s="4" t="s">
        <v>167</v>
      </c>
      <c r="E17" s="4" t="s">
        <v>168</v>
      </c>
      <c r="F17" s="4" t="s">
        <v>169</v>
      </c>
      <c r="G17" s="4" t="s">
        <v>170</v>
      </c>
      <c r="H17" s="4" t="s">
        <v>171</v>
      </c>
      <c r="I17" s="4" t="s">
        <v>172</v>
      </c>
      <c r="J17" s="4" t="s">
        <v>173</v>
      </c>
      <c r="K17" s="4" t="s">
        <v>430</v>
      </c>
      <c r="L17" s="4"/>
      <c r="M17" s="4"/>
      <c r="N17" s="4"/>
      <c r="O17" s="4"/>
      <c r="P17" s="4"/>
      <c r="Q17" s="4"/>
      <c r="R17" t="s">
        <v>22</v>
      </c>
      <c r="S17" t="s">
        <v>466</v>
      </c>
      <c r="T17" t="s">
        <v>467</v>
      </c>
      <c r="U17" t="s">
        <v>375</v>
      </c>
      <c r="V17" t="s">
        <v>468</v>
      </c>
      <c r="X17" t="s">
        <v>469</v>
      </c>
      <c r="Y17" s="4" t="s">
        <v>378</v>
      </c>
      <c r="Z17" s="4" t="s">
        <v>379</v>
      </c>
      <c r="AA17" s="4" t="s">
        <v>380</v>
      </c>
      <c r="AB17" t="str">
        <f t="shared" si="0"/>
        <v>Range("H14:R14").Value = ThisWorkbook.Sheets("Data Source").Range("W17").Value</v>
      </c>
      <c r="AC17" s="4"/>
      <c r="AD17" s="4"/>
      <c r="AE17" s="4"/>
      <c r="AF17" s="4"/>
      <c r="AG17" s="4"/>
      <c r="AH17" s="4"/>
      <c r="AI17" s="4"/>
      <c r="AJ17" s="4"/>
      <c r="AK17" s="4"/>
      <c r="AL17" s="4"/>
      <c r="AM17" s="4"/>
    </row>
    <row r="18" spans="1:39">
      <c r="R18" t="s">
        <v>23</v>
      </c>
      <c r="S18" t="s">
        <v>470</v>
      </c>
      <c r="T18" t="s">
        <v>471</v>
      </c>
      <c r="U18" t="s">
        <v>375</v>
      </c>
      <c r="V18" t="s">
        <v>472</v>
      </c>
      <c r="X18" t="s">
        <v>473</v>
      </c>
      <c r="Y18" t="s">
        <v>378</v>
      </c>
      <c r="Z18" t="s">
        <v>379</v>
      </c>
      <c r="AA18" t="s">
        <v>380</v>
      </c>
      <c r="AB18" t="str">
        <f t="shared" si="0"/>
        <v>Range("Z14:AJ14").Value = ThisWorkbook.Sheets("Data Source").Range("W18").Value</v>
      </c>
    </row>
    <row r="19" spans="1:39">
      <c r="A19" s="1" t="s">
        <v>175</v>
      </c>
      <c r="B19" t="s">
        <v>49</v>
      </c>
      <c r="C19">
        <v>0</v>
      </c>
      <c r="R19" t="s">
        <v>474</v>
      </c>
      <c r="S19" t="s">
        <v>475</v>
      </c>
      <c r="T19" t="s">
        <v>476</v>
      </c>
      <c r="U19" t="s">
        <v>375</v>
      </c>
      <c r="V19" t="s">
        <v>477</v>
      </c>
      <c r="X19" t="s">
        <v>478</v>
      </c>
      <c r="Y19" t="s">
        <v>378</v>
      </c>
      <c r="Z19" t="s">
        <v>379</v>
      </c>
      <c r="AA19" t="s">
        <v>380</v>
      </c>
      <c r="AB19" t="str">
        <f t="shared" si="0"/>
        <v>Range("Z16:AJ16").Value = ThisWorkbook.Sheets("Data Source").Range("W19").Value</v>
      </c>
    </row>
    <row r="20" spans="1:39">
      <c r="B20" t="s">
        <v>479</v>
      </c>
      <c r="C20">
        <v>300</v>
      </c>
      <c r="H20" s="4"/>
      <c r="I20" s="4"/>
      <c r="J20" s="4"/>
      <c r="K20" s="4"/>
      <c r="L20" s="4"/>
      <c r="M20" s="4"/>
      <c r="N20" s="4"/>
      <c r="O20" s="4"/>
      <c r="P20" s="4"/>
      <c r="Q20" s="4"/>
      <c r="R20" t="s">
        <v>480</v>
      </c>
      <c r="S20" t="s">
        <v>481</v>
      </c>
      <c r="T20" t="s">
        <v>482</v>
      </c>
      <c r="U20" t="s">
        <v>375</v>
      </c>
      <c r="V20" t="s">
        <v>483</v>
      </c>
      <c r="W20" t="s">
        <v>29</v>
      </c>
      <c r="X20" t="s">
        <v>484</v>
      </c>
      <c r="Y20" s="4" t="s">
        <v>378</v>
      </c>
      <c r="Z20" s="4" t="s">
        <v>379</v>
      </c>
      <c r="AA20" s="4" t="s">
        <v>380</v>
      </c>
      <c r="AB20" t="str">
        <f t="shared" si="0"/>
        <v>Range("H17:O17").Value = ThisWorkbook.Sheets("Data Source").Range("W20").Value</v>
      </c>
      <c r="AC20" s="4"/>
      <c r="AD20" s="4"/>
      <c r="AE20" s="4"/>
      <c r="AF20" s="4"/>
    </row>
    <row r="21" ht="28.3" spans="1:39">
      <c r="B21" t="s">
        <v>485</v>
      </c>
      <c r="C21">
        <v>300</v>
      </c>
      <c r="H21" s="4"/>
      <c r="I21" s="4"/>
      <c r="J21" s="4"/>
      <c r="K21" s="4"/>
      <c r="L21" s="4"/>
      <c r="M21" s="4"/>
      <c r="N21" s="4"/>
      <c r="O21" s="4"/>
      <c r="P21" s="4"/>
      <c r="Q21" s="4"/>
      <c r="R21" t="s">
        <v>486</v>
      </c>
      <c r="S21" t="s">
        <v>487</v>
      </c>
      <c r="T21" t="s">
        <v>488</v>
      </c>
      <c r="U21" t="s">
        <v>375</v>
      </c>
      <c r="V21" t="s">
        <v>489</v>
      </c>
      <c r="W21" s="10" t="s">
        <v>30</v>
      </c>
      <c r="X21" t="s">
        <v>490</v>
      </c>
      <c r="Y21" s="4" t="s">
        <v>378</v>
      </c>
      <c r="Z21" s="4" t="s">
        <v>379</v>
      </c>
      <c r="AA21" s="4" t="s">
        <v>380</v>
      </c>
      <c r="AB21" t="str">
        <f t="shared" si="0"/>
        <v>Range("P17:AA17").Value = ThisWorkbook.Sheets("Data Source").Range("W21").Value</v>
      </c>
      <c r="AC21" s="4"/>
      <c r="AD21" s="4"/>
      <c r="AE21" s="4"/>
      <c r="AF21" s="4"/>
    </row>
    <row r="22" spans="1:39">
      <c r="H22" s="4"/>
      <c r="I22" s="4"/>
      <c r="J22" s="4"/>
      <c r="K22" s="4"/>
      <c r="L22" s="4"/>
      <c r="M22" s="4"/>
      <c r="N22" s="4"/>
      <c r="O22" s="4"/>
      <c r="P22" s="4"/>
      <c r="Q22" s="4"/>
      <c r="R22" t="s">
        <v>491</v>
      </c>
      <c r="S22" t="s">
        <v>492</v>
      </c>
      <c r="T22" t="s">
        <v>493</v>
      </c>
      <c r="U22" t="s">
        <v>375</v>
      </c>
      <c r="V22" t="s">
        <v>494</v>
      </c>
      <c r="W22" t="s">
        <v>31</v>
      </c>
      <c r="X22" t="s">
        <v>495</v>
      </c>
      <c r="Y22" s="4" t="s">
        <v>378</v>
      </c>
      <c r="Z22" s="4" t="s">
        <v>379</v>
      </c>
      <c r="AA22" s="4" t="s">
        <v>380</v>
      </c>
      <c r="AB22" t="str">
        <f t="shared" si="0"/>
        <v>Range("AB17:AJ17").Value = ThisWorkbook.Sheets("Data Source").Range("W22").Value</v>
      </c>
      <c r="AC22" s="4"/>
      <c r="AD22" s="4"/>
      <c r="AE22" s="4"/>
      <c r="AF22" s="4"/>
    </row>
    <row r="23" spans="1:39">
      <c r="A23" s="1" t="s">
        <v>496</v>
      </c>
      <c r="B23" t="s">
        <v>60</v>
      </c>
      <c r="D23" s="11"/>
      <c r="H23" s="4"/>
      <c r="I23" s="4"/>
      <c r="J23" s="4"/>
      <c r="K23" s="4"/>
      <c r="L23" s="4"/>
      <c r="M23" s="4"/>
      <c r="N23" s="4"/>
      <c r="O23" s="4"/>
      <c r="P23" s="4"/>
      <c r="Q23" s="4"/>
      <c r="R23" t="s">
        <v>497</v>
      </c>
      <c r="S23" t="s">
        <v>498</v>
      </c>
      <c r="T23" t="s">
        <v>499</v>
      </c>
      <c r="U23" t="s">
        <v>375</v>
      </c>
      <c r="V23" t="s">
        <v>500</v>
      </c>
      <c r="W23" t="s">
        <v>39</v>
      </c>
      <c r="X23" t="s">
        <v>501</v>
      </c>
      <c r="Y23" s="4" t="s">
        <v>378</v>
      </c>
      <c r="Z23" s="4" t="s">
        <v>379</v>
      </c>
      <c r="AA23" s="4" t="s">
        <v>380</v>
      </c>
      <c r="AB23" t="str">
        <f t="shared" si="0"/>
        <v>Range("H20:AC20").Value = ThisWorkbook.Sheets("Data Source").Range("W23").Value</v>
      </c>
      <c r="AC23" s="4"/>
      <c r="AD23" s="4"/>
      <c r="AE23" s="4"/>
      <c r="AF23" s="4"/>
    </row>
    <row r="24" spans="1:39">
      <c r="B24" t="s">
        <v>502</v>
      </c>
      <c r="R24" t="s">
        <v>43</v>
      </c>
      <c r="S24" t="s">
        <v>503</v>
      </c>
      <c r="T24" t="s">
        <v>504</v>
      </c>
      <c r="U24" t="s">
        <v>375</v>
      </c>
      <c r="V24" t="s">
        <v>505</v>
      </c>
      <c r="W24" t="s">
        <v>44</v>
      </c>
      <c r="X24" t="s">
        <v>506</v>
      </c>
      <c r="Y24" t="s">
        <v>378</v>
      </c>
      <c r="Z24" t="s">
        <v>379</v>
      </c>
      <c r="AA24" t="s">
        <v>380</v>
      </c>
      <c r="AB24" t="str">
        <f t="shared" si="0"/>
        <v>Range("H23:AC23").Value = ThisWorkbook.Sheets("Data Source").Range("W24").Value</v>
      </c>
    </row>
    <row r="25" spans="1:39">
      <c r="B25" t="s">
        <v>507</v>
      </c>
      <c r="H25" s="4"/>
      <c r="I25" s="4"/>
      <c r="J25" s="4"/>
      <c r="K25" s="4"/>
      <c r="L25" s="4"/>
      <c r="M25" s="4"/>
      <c r="N25" s="4"/>
      <c r="O25" s="4"/>
      <c r="P25" s="4"/>
      <c r="Q25" s="4"/>
      <c r="R25" t="s">
        <v>508</v>
      </c>
      <c r="S25" t="s">
        <v>509</v>
      </c>
      <c r="T25" t="s">
        <v>510</v>
      </c>
      <c r="U25" t="s">
        <v>375</v>
      </c>
      <c r="V25" t="s">
        <v>511</v>
      </c>
      <c r="W25" t="s">
        <v>47</v>
      </c>
      <c r="X25" t="s">
        <v>512</v>
      </c>
      <c r="Y25" s="4" t="s">
        <v>378</v>
      </c>
      <c r="Z25" s="4" t="s">
        <v>379</v>
      </c>
      <c r="AA25" s="4" t="s">
        <v>380</v>
      </c>
      <c r="AB25" t="str">
        <f t="shared" si="0"/>
        <v>Range("H25:AC25").Value = ThisWorkbook.Sheets("Data Source").Range("W25").Value</v>
      </c>
      <c r="AC25" s="4"/>
      <c r="AD25" s="4"/>
      <c r="AE25" s="4"/>
      <c r="AF25" s="4"/>
    </row>
    <row r="26" spans="1:39">
      <c r="H26" s="4"/>
      <c r="I26" s="4"/>
      <c r="J26" s="4"/>
      <c r="K26" s="4"/>
      <c r="L26" s="4"/>
      <c r="M26" s="4"/>
      <c r="N26" s="4"/>
      <c r="O26" s="4"/>
      <c r="P26" s="4"/>
      <c r="Q26" s="4"/>
      <c r="R26" t="s">
        <v>513</v>
      </c>
      <c r="S26" t="s">
        <v>514</v>
      </c>
      <c r="T26" t="s">
        <v>515</v>
      </c>
      <c r="U26" t="s">
        <v>375</v>
      </c>
      <c r="V26" t="s">
        <v>516</v>
      </c>
      <c r="W26" t="s">
        <v>49</v>
      </c>
      <c r="X26" t="s">
        <v>517</v>
      </c>
      <c r="Y26" s="4" t="s">
        <v>378</v>
      </c>
      <c r="Z26" s="4" t="s">
        <v>379</v>
      </c>
      <c r="AA26" s="4" t="s">
        <v>380</v>
      </c>
      <c r="AB26" t="str">
        <f t="shared" si="0"/>
        <v>Range("H27:AC27").Value = ThisWorkbook.Sheets("Data Source").Range("W26").Value</v>
      </c>
      <c r="AC26" s="4"/>
      <c r="AD26" s="4"/>
      <c r="AE26" s="4"/>
      <c r="AF26" s="4"/>
    </row>
    <row r="27" spans="1:39">
      <c r="A27" s="1" t="s">
        <v>285</v>
      </c>
      <c r="B27" t="s">
        <v>118</v>
      </c>
      <c r="C27" s="1" t="s">
        <v>253</v>
      </c>
      <c r="D27" t="s">
        <v>49</v>
      </c>
      <c r="H27" s="4"/>
      <c r="I27" s="4"/>
      <c r="J27" s="4"/>
      <c r="K27" s="4"/>
      <c r="L27" s="4"/>
      <c r="M27" s="4"/>
      <c r="N27" s="4"/>
      <c r="O27" s="4"/>
      <c r="P27" s="4"/>
      <c r="Q27" s="4"/>
      <c r="R27" t="s">
        <v>518</v>
      </c>
      <c r="S27" t="s">
        <v>519</v>
      </c>
      <c r="T27" t="s">
        <v>520</v>
      </c>
      <c r="U27" t="s">
        <v>375</v>
      </c>
      <c r="V27" t="s">
        <v>521</v>
      </c>
      <c r="W27" t="s">
        <v>52</v>
      </c>
      <c r="X27" t="s">
        <v>522</v>
      </c>
      <c r="Y27" s="4" t="s">
        <v>378</v>
      </c>
      <c r="Z27" s="4" t="s">
        <v>379</v>
      </c>
      <c r="AA27" s="4" t="s">
        <v>380</v>
      </c>
      <c r="AB27" t="str">
        <f t="shared" si="0"/>
        <v>Range("H29:AC29").Value = ThisWorkbook.Sheets("Data Source").Range("W27").Value</v>
      </c>
      <c r="AC27" s="4"/>
      <c r="AD27" s="4"/>
      <c r="AE27" s="4"/>
      <c r="AF27" s="4"/>
    </row>
    <row r="28" spans="1:39">
      <c r="B28" t="s">
        <v>236</v>
      </c>
      <c r="C28" s="1"/>
      <c r="D28" t="s">
        <v>523</v>
      </c>
      <c r="H28" s="4"/>
      <c r="I28" s="4"/>
      <c r="J28" s="4"/>
      <c r="K28" s="4"/>
      <c r="L28" s="4"/>
      <c r="M28" s="4"/>
      <c r="N28" s="4"/>
      <c r="O28" s="4"/>
      <c r="P28" s="4"/>
      <c r="Q28" s="4"/>
      <c r="R28" t="s">
        <v>43</v>
      </c>
      <c r="S28" t="s">
        <v>524</v>
      </c>
      <c r="T28" t="s">
        <v>525</v>
      </c>
      <c r="U28" t="s">
        <v>375</v>
      </c>
      <c r="V28" t="s">
        <v>526</v>
      </c>
      <c r="W28" t="s">
        <v>44</v>
      </c>
      <c r="X28" t="s">
        <v>527</v>
      </c>
      <c r="Y28" s="4" t="s">
        <v>378</v>
      </c>
      <c r="Z28" s="4" t="s">
        <v>379</v>
      </c>
      <c r="AA28" s="4" t="s">
        <v>380</v>
      </c>
      <c r="AB28" t="str">
        <f t="shared" si="0"/>
        <v>Range("H30:AC30").Value = ThisWorkbook.Sheets("Data Source").Range("W28").Value</v>
      </c>
      <c r="AC28" s="4"/>
      <c r="AD28" s="4"/>
      <c r="AE28" s="4"/>
      <c r="AF28" s="4"/>
    </row>
    <row r="29" spans="1:39">
      <c r="B29" t="s">
        <v>286</v>
      </c>
      <c r="D29" t="s">
        <v>528</v>
      </c>
      <c r="H29" s="4"/>
      <c r="I29" s="4"/>
      <c r="J29" s="4"/>
      <c r="K29" s="4"/>
      <c r="L29" s="4"/>
      <c r="M29" s="4"/>
      <c r="N29" s="4"/>
      <c r="O29" s="4"/>
      <c r="P29" s="4"/>
      <c r="Q29" s="4"/>
      <c r="R29" t="s">
        <v>529</v>
      </c>
      <c r="S29" t="s">
        <v>530</v>
      </c>
      <c r="T29" t="s">
        <v>531</v>
      </c>
      <c r="U29" t="s">
        <v>375</v>
      </c>
      <c r="V29" t="s">
        <v>532</v>
      </c>
      <c r="W29" t="s">
        <v>54</v>
      </c>
      <c r="X29" t="s">
        <v>533</v>
      </c>
      <c r="Y29" s="4" t="s">
        <v>378</v>
      </c>
      <c r="Z29" s="4" t="s">
        <v>379</v>
      </c>
      <c r="AA29" s="4" t="s">
        <v>380</v>
      </c>
      <c r="AB29" t="str">
        <f t="shared" si="0"/>
        <v>Range("H31:AC31").Value = ThisWorkbook.Sheets("Data Source").Range("W29").Value</v>
      </c>
      <c r="AC29" s="4"/>
      <c r="AD29" s="4"/>
      <c r="AE29" s="4"/>
      <c r="AF29" s="4"/>
    </row>
    <row r="30" spans="1:39">
      <c r="B30" t="s">
        <v>231</v>
      </c>
      <c r="H30" s="4"/>
      <c r="I30" s="4"/>
      <c r="J30" s="4"/>
      <c r="K30" s="4"/>
      <c r="L30" s="4"/>
      <c r="M30" s="4"/>
      <c r="N30" s="4"/>
      <c r="O30" s="4"/>
      <c r="P30" s="4"/>
      <c r="Q30" s="4"/>
      <c r="R30" t="s">
        <v>196</v>
      </c>
      <c r="S30" t="s">
        <v>534</v>
      </c>
      <c r="T30" t="s">
        <v>535</v>
      </c>
      <c r="U30" t="s">
        <v>375</v>
      </c>
      <c r="V30" t="s">
        <v>536</v>
      </c>
      <c r="W30" t="s">
        <v>56</v>
      </c>
      <c r="X30" t="s">
        <v>537</v>
      </c>
      <c r="Y30" s="4" t="s">
        <v>378</v>
      </c>
      <c r="Z30" s="4" t="s">
        <v>379</v>
      </c>
      <c r="AA30" s="4" t="s">
        <v>380</v>
      </c>
      <c r="AB30" t="str">
        <f t="shared" si="0"/>
        <v>Range("H32:AC32").Value = ThisWorkbook.Sheets("Data Source").Range("W30").Value</v>
      </c>
      <c r="AC30" s="4"/>
      <c r="AD30" s="4"/>
      <c r="AE30" s="4"/>
      <c r="AF30" s="4"/>
    </row>
    <row r="31" spans="1:39">
      <c r="B31" t="s">
        <v>287</v>
      </c>
      <c r="H31" s="4"/>
      <c r="I31" s="4"/>
      <c r="J31" s="4"/>
      <c r="K31" s="4"/>
      <c r="L31" s="4"/>
      <c r="M31" s="4"/>
      <c r="N31" s="4"/>
      <c r="O31" s="4"/>
      <c r="P31" s="4"/>
      <c r="Q31" s="4"/>
      <c r="R31" t="s">
        <v>508</v>
      </c>
      <c r="S31" t="s">
        <v>538</v>
      </c>
      <c r="T31" t="s">
        <v>539</v>
      </c>
      <c r="U31" t="s">
        <v>375</v>
      </c>
      <c r="V31" t="s">
        <v>540</v>
      </c>
      <c r="W31" t="s">
        <v>47</v>
      </c>
      <c r="X31" t="s">
        <v>541</v>
      </c>
      <c r="Y31" s="4" t="s">
        <v>378</v>
      </c>
      <c r="Z31" s="4" t="s">
        <v>379</v>
      </c>
      <c r="AA31" s="4" t="s">
        <v>380</v>
      </c>
      <c r="AB31" t="str">
        <f t="shared" si="0"/>
        <v>Range("H34:AC34").Value = ThisWorkbook.Sheets("Data Source").Range("W31").Value</v>
      </c>
      <c r="AC31" s="4"/>
      <c r="AD31" s="4"/>
      <c r="AE31" s="4"/>
      <c r="AF31" s="4"/>
    </row>
    <row r="32" spans="1:39">
      <c r="B32" t="s">
        <v>288</v>
      </c>
      <c r="H32" s="4"/>
      <c r="I32" s="4"/>
      <c r="J32" s="4"/>
      <c r="K32" s="4"/>
      <c r="L32" s="4"/>
      <c r="M32" s="4"/>
      <c r="N32" s="4"/>
      <c r="O32" s="4"/>
      <c r="P32" s="4"/>
      <c r="Q32" s="4"/>
      <c r="R32" t="s">
        <v>513</v>
      </c>
      <c r="S32" t="s">
        <v>542</v>
      </c>
      <c r="T32" t="s">
        <v>543</v>
      </c>
      <c r="U32" t="s">
        <v>375</v>
      </c>
      <c r="V32" t="s">
        <v>544</v>
      </c>
      <c r="W32" t="s">
        <v>49</v>
      </c>
      <c r="X32" t="s">
        <v>545</v>
      </c>
      <c r="Y32" s="4" t="s">
        <v>378</v>
      </c>
      <c r="Z32" s="4" t="s">
        <v>379</v>
      </c>
      <c r="AA32" s="4" t="s">
        <v>380</v>
      </c>
      <c r="AB32" t="str">
        <f t="shared" si="0"/>
        <v>Range("H36:AC36").Value = ThisWorkbook.Sheets("Data Source").Range("W32").Value</v>
      </c>
      <c r="AC32" s="4"/>
      <c r="AD32" s="4"/>
      <c r="AE32" s="4"/>
      <c r="AF32" s="4"/>
    </row>
    <row r="33" spans="1:32">
      <c r="R33" t="s">
        <v>546</v>
      </c>
      <c r="S33" t="s">
        <v>547</v>
      </c>
      <c r="T33" t="s">
        <v>548</v>
      </c>
      <c r="U33" t="s">
        <v>375</v>
      </c>
      <c r="V33" t="s">
        <v>549</v>
      </c>
      <c r="W33" t="s">
        <v>60</v>
      </c>
      <c r="X33" t="s">
        <v>550</v>
      </c>
      <c r="Y33" s="4" t="s">
        <v>378</v>
      </c>
      <c r="Z33" s="4" t="s">
        <v>379</v>
      </c>
      <c r="AA33" s="4" t="s">
        <v>380</v>
      </c>
      <c r="AB33" t="str">
        <f t="shared" si="0"/>
        <v>Range("H37:AC37").Value = ThisWorkbook.Sheets("Data Source").Range("W33").Value</v>
      </c>
    </row>
    <row r="34" spans="1:32">
      <c r="H34" s="4"/>
      <c r="I34" s="4"/>
      <c r="J34" s="4"/>
      <c r="K34" s="4"/>
      <c r="L34" s="4"/>
      <c r="M34" s="4"/>
      <c r="N34" s="4"/>
      <c r="O34" s="4"/>
      <c r="P34" s="4"/>
      <c r="Q34" s="4"/>
      <c r="R34" t="s">
        <v>551</v>
      </c>
      <c r="S34" t="s">
        <v>552</v>
      </c>
      <c r="T34" t="s">
        <v>553</v>
      </c>
      <c r="U34" t="s">
        <v>375</v>
      </c>
      <c r="V34" t="s">
        <v>554</v>
      </c>
      <c r="W34" t="s">
        <v>62</v>
      </c>
      <c r="X34" t="s">
        <v>555</v>
      </c>
      <c r="Y34" s="4" t="s">
        <v>378</v>
      </c>
      <c r="Z34" s="4" t="s">
        <v>379</v>
      </c>
      <c r="AA34" s="4" t="s">
        <v>380</v>
      </c>
      <c r="AB34" t="str">
        <f t="shared" si="0"/>
        <v>Range("H38:AC38").Value = ThisWorkbook.Sheets("Data Source").Range("W34").Value</v>
      </c>
      <c r="AC34" s="4"/>
      <c r="AD34" s="4"/>
      <c r="AE34" s="4"/>
      <c r="AF34" s="4"/>
    </row>
    <row r="35" spans="1:32">
      <c r="H35" s="4"/>
      <c r="I35" s="4"/>
      <c r="J35" s="4"/>
      <c r="K35" s="4"/>
      <c r="L35" s="4"/>
      <c r="M35" s="4"/>
      <c r="N35" s="4"/>
      <c r="O35" s="4"/>
      <c r="P35" s="4"/>
      <c r="Q35" s="4"/>
      <c r="R35" t="s">
        <v>556</v>
      </c>
      <c r="S35" t="s">
        <v>557</v>
      </c>
      <c r="T35" t="s">
        <v>558</v>
      </c>
      <c r="U35" t="s">
        <v>375</v>
      </c>
      <c r="V35" t="s">
        <v>559</v>
      </c>
      <c r="W35" t="s">
        <v>65</v>
      </c>
      <c r="X35" t="s">
        <v>560</v>
      </c>
      <c r="Y35" s="4" t="s">
        <v>378</v>
      </c>
      <c r="Z35" s="4" t="s">
        <v>379</v>
      </c>
      <c r="AA35" s="4" t="s">
        <v>380</v>
      </c>
      <c r="AB35" t="str">
        <f t="shared" si="0"/>
        <v>Range("H40:AC40").Value = ThisWorkbook.Sheets("Data Source").Range("W35").Value</v>
      </c>
      <c r="AC35" s="4"/>
      <c r="AD35" s="4"/>
      <c r="AE35" s="4"/>
      <c r="AF35" s="4"/>
    </row>
    <row r="36" spans="1:32">
      <c r="A36" s="1" t="s">
        <v>289</v>
      </c>
      <c r="B36" t="s">
        <v>118</v>
      </c>
      <c r="H36" s="4"/>
      <c r="I36" s="4"/>
      <c r="J36" s="4"/>
      <c r="K36" s="4"/>
      <c r="L36" s="4"/>
      <c r="M36" s="4"/>
      <c r="N36" s="4"/>
      <c r="O36" s="4"/>
      <c r="P36" s="4"/>
      <c r="Q36" s="4"/>
      <c r="R36" t="s">
        <v>561</v>
      </c>
      <c r="S36" t="s">
        <v>562</v>
      </c>
      <c r="T36" t="s">
        <v>563</v>
      </c>
      <c r="U36" t="s">
        <v>375</v>
      </c>
      <c r="V36" t="s">
        <v>564</v>
      </c>
      <c r="W36" t="s">
        <v>56</v>
      </c>
      <c r="X36" t="s">
        <v>565</v>
      </c>
      <c r="Y36" s="4" t="s">
        <v>378</v>
      </c>
      <c r="Z36" s="4" t="s">
        <v>379</v>
      </c>
      <c r="AA36" s="4" t="s">
        <v>380</v>
      </c>
      <c r="AB36" t="str">
        <f t="shared" si="0"/>
        <v>Range("H41:AC41").Value = ThisWorkbook.Sheets("Data Source").Range("W36").Value</v>
      </c>
      <c r="AC36" s="4"/>
      <c r="AD36" s="4"/>
      <c r="AE36" s="4"/>
      <c r="AF36" s="4"/>
    </row>
    <row r="37" spans="1:32">
      <c r="B37" t="s">
        <v>236</v>
      </c>
      <c r="H37" s="4"/>
      <c r="I37" s="4"/>
      <c r="J37" s="4"/>
      <c r="K37" s="4"/>
      <c r="L37" s="4"/>
      <c r="M37" s="4"/>
      <c r="N37" s="4"/>
      <c r="O37" s="4"/>
      <c r="P37" s="4"/>
      <c r="Q37" s="4"/>
      <c r="R37" t="s">
        <v>566</v>
      </c>
      <c r="S37" t="s">
        <v>567</v>
      </c>
      <c r="T37" t="s">
        <v>568</v>
      </c>
      <c r="U37" t="s">
        <v>375</v>
      </c>
      <c r="V37" t="s">
        <v>569</v>
      </c>
      <c r="W37" t="s">
        <v>56</v>
      </c>
      <c r="X37" t="s">
        <v>570</v>
      </c>
      <c r="Y37" s="4" t="s">
        <v>378</v>
      </c>
      <c r="Z37" s="4" t="s">
        <v>379</v>
      </c>
      <c r="AA37" s="4" t="s">
        <v>380</v>
      </c>
      <c r="AB37" t="str">
        <f t="shared" si="0"/>
        <v>Range("H42:AC42").Value = ThisWorkbook.Sheets("Data Source").Range("W37").Value</v>
      </c>
      <c r="AC37" s="4"/>
      <c r="AD37" s="4"/>
      <c r="AE37" s="4"/>
      <c r="AF37" s="4"/>
    </row>
    <row r="38" spans="1:32">
      <c r="B38" t="s">
        <v>286</v>
      </c>
      <c r="H38" s="4"/>
      <c r="I38" s="4"/>
      <c r="J38" s="4"/>
      <c r="K38" s="4"/>
      <c r="L38" s="4"/>
      <c r="M38" s="4"/>
      <c r="N38" s="4"/>
      <c r="O38" s="4"/>
      <c r="P38" s="4"/>
      <c r="Q38" s="4"/>
      <c r="R38" t="s">
        <v>571</v>
      </c>
      <c r="S38" t="s">
        <v>572</v>
      </c>
      <c r="T38" t="s">
        <v>573</v>
      </c>
      <c r="U38" t="s">
        <v>375</v>
      </c>
      <c r="V38" t="s">
        <v>574</v>
      </c>
      <c r="W38" t="s">
        <v>56</v>
      </c>
      <c r="X38" t="s">
        <v>575</v>
      </c>
      <c r="Y38" s="4" t="s">
        <v>378</v>
      </c>
      <c r="Z38" s="4" t="s">
        <v>379</v>
      </c>
      <c r="AA38" s="4" t="s">
        <v>380</v>
      </c>
      <c r="AB38" t="str">
        <f t="shared" si="0"/>
        <v>Range("H43:AC43").Value = ThisWorkbook.Sheets("Data Source").Range("W38").Value</v>
      </c>
      <c r="AC38" s="4"/>
      <c r="AD38" s="4"/>
      <c r="AE38" s="4"/>
      <c r="AF38" s="4"/>
    </row>
    <row r="39" spans="1:32">
      <c r="B39" t="s">
        <v>231</v>
      </c>
      <c r="R39" t="s">
        <v>576</v>
      </c>
      <c r="S39" t="s">
        <v>577</v>
      </c>
      <c r="T39" t="s">
        <v>578</v>
      </c>
      <c r="U39" t="s">
        <v>375</v>
      </c>
      <c r="V39" t="s">
        <v>579</v>
      </c>
      <c r="W39" t="s">
        <v>56</v>
      </c>
      <c r="X39" t="s">
        <v>580</v>
      </c>
      <c r="Y39" s="4" t="s">
        <v>378</v>
      </c>
      <c r="Z39" s="4" t="s">
        <v>379</v>
      </c>
      <c r="AA39" s="4" t="s">
        <v>380</v>
      </c>
      <c r="AB39" t="str">
        <f t="shared" si="0"/>
        <v>Range("H44:AC44").Value = ThisWorkbook.Sheets("Data Source").Range("W39").Value</v>
      </c>
    </row>
    <row r="40" spans="1:32">
      <c r="B40" t="s">
        <v>287</v>
      </c>
      <c r="H40" s="4"/>
      <c r="I40" s="4"/>
      <c r="J40" s="4"/>
      <c r="K40" s="4"/>
      <c r="L40" s="4"/>
      <c r="M40" s="4"/>
      <c r="N40" s="4"/>
      <c r="O40" s="4"/>
      <c r="P40" s="4"/>
      <c r="Q40" s="4"/>
      <c r="R40" t="s">
        <v>581</v>
      </c>
      <c r="S40" t="s">
        <v>582</v>
      </c>
      <c r="T40" t="s">
        <v>583</v>
      </c>
      <c r="U40" t="s">
        <v>375</v>
      </c>
      <c r="V40" t="s">
        <v>584</v>
      </c>
      <c r="W40" t="s">
        <v>72</v>
      </c>
      <c r="X40" t="s">
        <v>585</v>
      </c>
      <c r="Y40" s="4" t="s">
        <v>378</v>
      </c>
      <c r="Z40" s="4" t="s">
        <v>379</v>
      </c>
      <c r="AA40" s="4" t="s">
        <v>380</v>
      </c>
      <c r="AB40" t="str">
        <f t="shared" si="0"/>
        <v>Range("H45:AC45").Value = ThisWorkbook.Sheets("Data Source").Range("W40").Value</v>
      </c>
      <c r="AC40" s="4"/>
      <c r="AD40" s="4"/>
      <c r="AE40" s="4"/>
      <c r="AF40" s="4"/>
    </row>
    <row r="41" spans="1:32">
      <c r="B41" t="s">
        <v>288</v>
      </c>
      <c r="H41" s="4"/>
      <c r="I41" s="4"/>
      <c r="J41" s="4"/>
      <c r="K41" s="4"/>
      <c r="L41" s="4"/>
      <c r="M41" s="4"/>
      <c r="N41" s="4"/>
      <c r="O41" s="4"/>
      <c r="P41" s="4"/>
      <c r="Q41" s="4"/>
      <c r="R41" t="s">
        <v>586</v>
      </c>
      <c r="S41" t="s">
        <v>587</v>
      </c>
      <c r="T41" t="s">
        <v>588</v>
      </c>
      <c r="U41" t="s">
        <v>375</v>
      </c>
      <c r="V41" t="s">
        <v>589</v>
      </c>
      <c r="W41" t="s">
        <v>44</v>
      </c>
      <c r="X41" t="s">
        <v>590</v>
      </c>
      <c r="Y41" s="4" t="s">
        <v>378</v>
      </c>
      <c r="Z41" s="4" t="s">
        <v>379</v>
      </c>
      <c r="AA41" s="4" t="s">
        <v>380</v>
      </c>
      <c r="AB41" t="str">
        <f t="shared" si="0"/>
        <v>Range("H46:AC46").Value = ThisWorkbook.Sheets("Data Source").Range("W41").Value</v>
      </c>
      <c r="AC41" s="4"/>
      <c r="AD41" s="4"/>
      <c r="AE41" s="4"/>
      <c r="AF41" s="4"/>
    </row>
    <row r="42" spans="1:32">
      <c r="H42" s="4"/>
      <c r="I42" s="4"/>
      <c r="J42" s="4"/>
      <c r="K42" s="4"/>
      <c r="L42" s="4"/>
      <c r="M42" s="4"/>
      <c r="N42" s="4"/>
      <c r="O42" s="4"/>
      <c r="P42" s="4"/>
      <c r="Q42" s="4"/>
      <c r="R42" t="s">
        <v>591</v>
      </c>
      <c r="S42" t="s">
        <v>592</v>
      </c>
      <c r="T42" t="s">
        <v>593</v>
      </c>
      <c r="U42" t="s">
        <v>375</v>
      </c>
      <c r="V42" t="s">
        <v>594</v>
      </c>
      <c r="W42" t="s">
        <v>49</v>
      </c>
      <c r="X42" t="s">
        <v>595</v>
      </c>
      <c r="Y42" s="4" t="s">
        <v>378</v>
      </c>
      <c r="Z42" s="4" t="s">
        <v>379</v>
      </c>
      <c r="AA42" s="4" t="s">
        <v>380</v>
      </c>
      <c r="AB42" t="str">
        <f t="shared" si="0"/>
        <v>Range("H47:AC47").Value = ThisWorkbook.Sheets("Data Source").Range("W42").Value</v>
      </c>
      <c r="AC42" s="4"/>
      <c r="AD42" s="4"/>
      <c r="AE42" s="4"/>
      <c r="AF42" s="4"/>
    </row>
    <row r="43" spans="1:32">
      <c r="H43" s="4"/>
      <c r="I43" s="4"/>
      <c r="J43" s="4"/>
      <c r="K43" s="4"/>
      <c r="L43" s="4"/>
      <c r="M43" s="4"/>
      <c r="N43" s="4"/>
      <c r="O43" s="4"/>
      <c r="P43" s="4"/>
      <c r="Q43" s="4"/>
      <c r="R43" t="s">
        <v>250</v>
      </c>
      <c r="S43" t="s">
        <v>596</v>
      </c>
      <c r="T43" t="s">
        <v>597</v>
      </c>
      <c r="U43" t="s">
        <v>375</v>
      </c>
      <c r="V43" t="s">
        <v>598</v>
      </c>
      <c r="W43" s="6">
        <v>1</v>
      </c>
      <c r="X43" t="s">
        <v>599</v>
      </c>
      <c r="Y43" s="4" t="s">
        <v>378</v>
      </c>
      <c r="Z43" s="4" t="s">
        <v>379</v>
      </c>
      <c r="AA43" s="4" t="s">
        <v>380</v>
      </c>
      <c r="AB43" t="str">
        <f t="shared" si="0"/>
        <v>Range("H50:AC50").Value = ThisWorkbook.Sheets("Data Source").Range("W43").Value</v>
      </c>
      <c r="AC43" s="4"/>
      <c r="AD43" s="4"/>
      <c r="AE43" s="4"/>
      <c r="AF43" s="4"/>
    </row>
    <row r="44" spans="1:32">
      <c r="A44" s="1" t="s">
        <v>600</v>
      </c>
      <c r="B44" t="s">
        <v>601</v>
      </c>
      <c r="H44" s="4"/>
      <c r="I44" s="4"/>
      <c r="J44" s="4"/>
      <c r="K44" s="4"/>
      <c r="L44" s="4"/>
      <c r="M44" s="4"/>
      <c r="N44" s="4"/>
      <c r="O44" s="4"/>
      <c r="P44" s="4"/>
      <c r="Q44" s="4"/>
      <c r="R44" t="s">
        <v>251</v>
      </c>
      <c r="S44" t="s">
        <v>602</v>
      </c>
      <c r="T44" t="s">
        <v>603</v>
      </c>
      <c r="U44" t="s">
        <v>375</v>
      </c>
      <c r="V44" t="s">
        <v>604</v>
      </c>
      <c r="W44" t="s">
        <v>56</v>
      </c>
      <c r="X44" t="s">
        <v>605</v>
      </c>
      <c r="Y44" s="4" t="s">
        <v>378</v>
      </c>
      <c r="Z44" s="4" t="s">
        <v>379</v>
      </c>
      <c r="AA44" s="4" t="s">
        <v>380</v>
      </c>
      <c r="AB44" t="str">
        <f t="shared" si="0"/>
        <v>Range("H51:AC51").Value = ThisWorkbook.Sheets("Data Source").Range("W44").Value</v>
      </c>
      <c r="AC44" s="4"/>
      <c r="AD44" s="4"/>
      <c r="AE44" s="4"/>
      <c r="AF44" s="4"/>
    </row>
    <row r="45" spans="1:32">
      <c r="B45" t="s">
        <v>606</v>
      </c>
      <c r="H45" s="4"/>
      <c r="I45" s="4"/>
      <c r="J45" s="4"/>
      <c r="K45" s="4"/>
      <c r="L45" s="4"/>
      <c r="M45" s="4"/>
      <c r="N45" s="4"/>
      <c r="O45" s="4"/>
      <c r="P45" s="4"/>
      <c r="Q45" s="4"/>
      <c r="R45" t="s">
        <v>607</v>
      </c>
      <c r="S45" t="s">
        <v>608</v>
      </c>
      <c r="T45" t="s">
        <v>609</v>
      </c>
      <c r="U45" t="s">
        <v>375</v>
      </c>
      <c r="V45" t="s">
        <v>610</v>
      </c>
      <c r="W45" t="s">
        <v>49</v>
      </c>
      <c r="X45" t="s">
        <v>611</v>
      </c>
      <c r="Y45" s="4" t="s">
        <v>378</v>
      </c>
      <c r="Z45" s="4" t="s">
        <v>379</v>
      </c>
      <c r="AA45" s="4" t="s">
        <v>380</v>
      </c>
      <c r="AB45" t="str">
        <f t="shared" si="0"/>
        <v>Range("H52:AC52").Value = ThisWorkbook.Sheets("Data Source").Range("W45").Value</v>
      </c>
      <c r="AC45" s="4"/>
      <c r="AD45" s="4"/>
      <c r="AE45" s="4"/>
      <c r="AF45" s="4"/>
    </row>
    <row r="46" spans="1:32">
      <c r="B46" t="s">
        <v>612</v>
      </c>
      <c r="H46" s="4"/>
      <c r="I46" s="4"/>
      <c r="J46" s="4"/>
      <c r="K46" s="4"/>
      <c r="L46" s="4"/>
      <c r="M46" s="4"/>
      <c r="N46" s="4"/>
      <c r="O46" s="4"/>
      <c r="P46" s="4"/>
      <c r="Q46" s="4"/>
      <c r="R46" t="s">
        <v>253</v>
      </c>
      <c r="S46" t="s">
        <v>613</v>
      </c>
      <c r="T46" t="s">
        <v>614</v>
      </c>
      <c r="U46" t="s">
        <v>375</v>
      </c>
      <c r="V46" t="s">
        <v>615</v>
      </c>
      <c r="W46" t="s">
        <v>49</v>
      </c>
      <c r="X46" t="s">
        <v>616</v>
      </c>
      <c r="Y46" s="4" t="s">
        <v>378</v>
      </c>
      <c r="Z46" s="4" t="s">
        <v>379</v>
      </c>
      <c r="AA46" s="4" t="s">
        <v>380</v>
      </c>
      <c r="AB46" t="str">
        <f t="shared" si="0"/>
        <v>Range("H55:AC55").Value = ThisWorkbook.Sheets("Data Source").Range("W46").Value</v>
      </c>
      <c r="AC46" s="4"/>
      <c r="AD46" s="4"/>
      <c r="AE46" s="4"/>
      <c r="AF46" s="4"/>
    </row>
    <row r="47" spans="1:32">
      <c r="B47" t="s">
        <v>617</v>
      </c>
      <c r="H47" s="4"/>
      <c r="I47" s="4"/>
      <c r="J47" s="4"/>
      <c r="K47" s="4"/>
      <c r="L47" s="4"/>
      <c r="M47" s="4"/>
      <c r="N47" s="4"/>
      <c r="O47" s="4"/>
      <c r="P47" s="4"/>
      <c r="Q47" s="4"/>
      <c r="R47" t="s">
        <v>269</v>
      </c>
      <c r="S47" t="s">
        <v>618</v>
      </c>
      <c r="T47" t="s">
        <v>619</v>
      </c>
      <c r="U47" t="s">
        <v>375</v>
      </c>
      <c r="V47" t="s">
        <v>620</v>
      </c>
      <c r="W47" t="s">
        <v>90</v>
      </c>
      <c r="X47" t="s">
        <v>621</v>
      </c>
      <c r="Y47" s="4" t="s">
        <v>378</v>
      </c>
      <c r="Z47" s="4" t="s">
        <v>379</v>
      </c>
      <c r="AA47" s="4" t="s">
        <v>380</v>
      </c>
      <c r="AB47" t="str">
        <f t="shared" si="0"/>
        <v>Range("H61:AC61").Value = ThisWorkbook.Sheets("Data Source").Range("W47").Value</v>
      </c>
      <c r="AC47" s="4"/>
      <c r="AD47" s="4"/>
      <c r="AE47" s="4"/>
      <c r="AF47" s="4"/>
    </row>
    <row r="48" spans="1:32">
      <c r="B48" t="s">
        <v>622</v>
      </c>
      <c r="H48" s="4"/>
      <c r="I48" s="4"/>
      <c r="J48" s="4"/>
      <c r="K48" s="4"/>
      <c r="L48" s="4"/>
      <c r="M48" s="4"/>
      <c r="N48" s="4"/>
      <c r="O48" s="4"/>
      <c r="P48" s="4"/>
      <c r="Q48" s="4"/>
      <c r="R48" t="s">
        <v>623</v>
      </c>
      <c r="S48" t="s">
        <v>624</v>
      </c>
      <c r="T48" t="s">
        <v>625</v>
      </c>
      <c r="U48" t="s">
        <v>375</v>
      </c>
      <c r="V48" t="s">
        <v>626</v>
      </c>
      <c r="W48" t="s">
        <v>98</v>
      </c>
      <c r="X48" t="s">
        <v>627</v>
      </c>
      <c r="Y48" s="4" t="s">
        <v>378</v>
      </c>
      <c r="Z48" s="4" t="s">
        <v>379</v>
      </c>
      <c r="AA48" s="4" t="s">
        <v>380</v>
      </c>
      <c r="AB48" t="str">
        <f t="shared" si="0"/>
        <v>Range("H65:AC65").Value = ThisWorkbook.Sheets("Data Source").Range("W48").Value</v>
      </c>
      <c r="AC48" s="4"/>
      <c r="AD48" s="4"/>
      <c r="AE48" s="4"/>
      <c r="AF48" s="4"/>
    </row>
    <row r="49" spans="1:32">
      <c r="B49" t="s">
        <v>628</v>
      </c>
      <c r="R49" t="s">
        <v>277</v>
      </c>
      <c r="S49" t="s">
        <v>629</v>
      </c>
      <c r="T49" t="s">
        <v>630</v>
      </c>
      <c r="U49" t="s">
        <v>375</v>
      </c>
      <c r="V49" t="s">
        <v>631</v>
      </c>
      <c r="W49" t="s">
        <v>105</v>
      </c>
      <c r="X49" t="s">
        <v>632</v>
      </c>
      <c r="Y49" s="4" t="s">
        <v>378</v>
      </c>
      <c r="Z49" s="4" t="s">
        <v>379</v>
      </c>
      <c r="AA49" s="4" t="s">
        <v>380</v>
      </c>
      <c r="AB49" t="str">
        <f t="shared" si="0"/>
        <v>Range("H69:AC69").Value = ThisWorkbook.Sheets("Data Source").Range("W49").Value</v>
      </c>
    </row>
    <row r="50" spans="1:32">
      <c r="H50" s="4"/>
      <c r="I50" s="4"/>
      <c r="J50" s="4"/>
      <c r="K50" s="4"/>
      <c r="L50" s="4"/>
      <c r="M50" s="4"/>
      <c r="N50" s="4"/>
      <c r="O50" s="4"/>
      <c r="P50" s="4"/>
      <c r="Q50" s="4"/>
      <c r="R50" t="s">
        <v>136</v>
      </c>
      <c r="S50" t="s">
        <v>633</v>
      </c>
      <c r="T50" t="s">
        <v>634</v>
      </c>
      <c r="U50" t="s">
        <v>375</v>
      </c>
      <c r="V50" t="s">
        <v>635</v>
      </c>
      <c r="W50" t="s">
        <v>107</v>
      </c>
      <c r="X50" t="s">
        <v>636</v>
      </c>
      <c r="Y50" s="4" t="s">
        <v>378</v>
      </c>
      <c r="Z50" s="4" t="s">
        <v>379</v>
      </c>
      <c r="AA50" s="4" t="s">
        <v>380</v>
      </c>
      <c r="AB50" t="str">
        <f t="shared" si="0"/>
        <v>Range("H70:O70").Value = ThisWorkbook.Sheets("Data Source").Range("W50").Value</v>
      </c>
      <c r="AC50" s="4"/>
      <c r="AD50" s="4"/>
      <c r="AE50" s="4"/>
      <c r="AF50" s="4"/>
    </row>
    <row r="51" spans="1:32">
      <c r="H51" s="4"/>
      <c r="I51" s="4"/>
      <c r="J51" s="4"/>
      <c r="K51" s="4"/>
      <c r="L51" s="4"/>
      <c r="M51" s="4"/>
      <c r="N51" s="4"/>
      <c r="O51" s="4"/>
      <c r="P51" s="4"/>
      <c r="Q51" s="4"/>
      <c r="R51" t="s">
        <v>320</v>
      </c>
      <c r="S51" t="s">
        <v>637</v>
      </c>
      <c r="T51" t="s">
        <v>638</v>
      </c>
      <c r="U51" t="s">
        <v>375</v>
      </c>
      <c r="V51" t="s">
        <v>639</v>
      </c>
      <c r="W51" t="s">
        <v>56</v>
      </c>
      <c r="X51" t="s">
        <v>640</v>
      </c>
      <c r="Y51" s="4" t="s">
        <v>378</v>
      </c>
      <c r="Z51" s="4" t="s">
        <v>379</v>
      </c>
      <c r="AA51" s="4" t="s">
        <v>380</v>
      </c>
      <c r="AB51" t="str">
        <f t="shared" si="0"/>
        <v>Range("H71:AC71").Value = ThisWorkbook.Sheets("Data Source").Range("W51").Value</v>
      </c>
      <c r="AC51" s="4"/>
      <c r="AD51" s="4"/>
      <c r="AE51" s="4"/>
      <c r="AF51" s="4"/>
    </row>
    <row r="52" spans="1:32">
      <c r="A52" s="1" t="s">
        <v>641</v>
      </c>
      <c r="B52" t="s">
        <v>98</v>
      </c>
      <c r="H52" s="4"/>
      <c r="I52" s="4"/>
      <c r="J52" s="4"/>
      <c r="K52" s="4"/>
      <c r="L52" s="4"/>
      <c r="M52" s="4"/>
      <c r="N52" s="4"/>
      <c r="O52" s="4"/>
      <c r="P52" s="4"/>
      <c r="Q52" s="4"/>
      <c r="R52" t="s">
        <v>109</v>
      </c>
      <c r="S52" t="s">
        <v>642</v>
      </c>
      <c r="T52" t="s">
        <v>643</v>
      </c>
      <c r="U52" t="s">
        <v>375</v>
      </c>
      <c r="V52" t="s">
        <v>644</v>
      </c>
      <c r="W52" t="s">
        <v>110</v>
      </c>
      <c r="X52" t="s">
        <v>645</v>
      </c>
      <c r="Y52" s="4" t="s">
        <v>378</v>
      </c>
      <c r="Z52" s="4" t="s">
        <v>379</v>
      </c>
      <c r="AA52" s="4" t="s">
        <v>380</v>
      </c>
      <c r="AB52" t="str">
        <f t="shared" si="0"/>
        <v>Range("H72:AC72").Value = ThisWorkbook.Sheets("Data Source").Range("W52").Value</v>
      </c>
      <c r="AC52" s="4"/>
      <c r="AD52" s="4"/>
      <c r="AE52" s="4"/>
      <c r="AF52" s="4"/>
    </row>
    <row r="53" spans="1:32">
      <c r="B53" t="s">
        <v>646</v>
      </c>
      <c r="H53" s="4"/>
      <c r="I53" s="4"/>
      <c r="J53" s="4"/>
      <c r="K53" s="4"/>
      <c r="L53" s="4"/>
      <c r="M53" s="4"/>
      <c r="N53" s="4"/>
      <c r="O53" s="4"/>
      <c r="P53" s="4"/>
      <c r="Q53" s="4"/>
      <c r="R53" t="s">
        <v>283</v>
      </c>
      <c r="S53" t="s">
        <v>647</v>
      </c>
      <c r="T53" t="s">
        <v>648</v>
      </c>
      <c r="U53" t="s">
        <v>375</v>
      </c>
      <c r="V53" t="s">
        <v>649</v>
      </c>
      <c r="W53" t="s">
        <v>56</v>
      </c>
      <c r="X53" t="s">
        <v>650</v>
      </c>
      <c r="Y53" s="4" t="s">
        <v>378</v>
      </c>
      <c r="Z53" s="4" t="s">
        <v>379</v>
      </c>
      <c r="AA53" s="4" t="s">
        <v>380</v>
      </c>
      <c r="AB53" t="str">
        <f t="shared" si="0"/>
        <v>Range("H73:AC73").Value = ThisWorkbook.Sheets("Data Source").Range("W53").Value</v>
      </c>
      <c r="AC53" s="4"/>
      <c r="AD53" s="4"/>
      <c r="AE53" s="4"/>
      <c r="AF53" s="4"/>
    </row>
    <row r="54" spans="1:32">
      <c r="H54" s="4"/>
      <c r="I54" s="4"/>
      <c r="J54" s="4"/>
      <c r="K54" s="4"/>
      <c r="L54" s="4"/>
      <c r="M54" s="4"/>
      <c r="N54" s="4"/>
      <c r="O54" s="4"/>
      <c r="P54" s="4"/>
      <c r="Q54" s="4"/>
      <c r="R54" t="s">
        <v>112</v>
      </c>
      <c r="S54" t="s">
        <v>651</v>
      </c>
      <c r="T54" t="s">
        <v>652</v>
      </c>
      <c r="U54" t="s">
        <v>375</v>
      </c>
      <c r="V54" t="s">
        <v>653</v>
      </c>
      <c r="W54" t="s">
        <v>44</v>
      </c>
      <c r="X54" t="s">
        <v>654</v>
      </c>
      <c r="Y54" s="4" t="s">
        <v>378</v>
      </c>
      <c r="Z54" s="4" t="s">
        <v>379</v>
      </c>
      <c r="AA54" s="4" t="s">
        <v>380</v>
      </c>
      <c r="AB54" t="str">
        <f t="shared" si="0"/>
        <v>Range("H74:AC74").Value = ThisWorkbook.Sheets("Data Source").Range("W54").Value</v>
      </c>
      <c r="AC54" s="4"/>
      <c r="AD54" s="4"/>
      <c r="AE54" s="4"/>
      <c r="AF54" s="4"/>
    </row>
    <row r="55" spans="1:32">
      <c r="A55" s="1" t="s">
        <v>655</v>
      </c>
      <c r="B55" t="s">
        <v>49</v>
      </c>
      <c r="H55" s="4"/>
      <c r="I55" s="4"/>
      <c r="J55" s="4"/>
      <c r="K55" s="4"/>
      <c r="L55" s="4"/>
      <c r="M55" s="4"/>
      <c r="N55" s="4"/>
      <c r="O55" s="4"/>
      <c r="P55" s="4"/>
      <c r="Q55" s="4"/>
      <c r="R55" t="s">
        <v>290</v>
      </c>
      <c r="S55" t="s">
        <v>656</v>
      </c>
      <c r="T55" t="s">
        <v>657</v>
      </c>
      <c r="U55" t="s">
        <v>375</v>
      </c>
      <c r="V55" t="s">
        <v>658</v>
      </c>
      <c r="W55" t="s">
        <v>114</v>
      </c>
      <c r="X55" t="s">
        <v>659</v>
      </c>
      <c r="Y55" s="4" t="s">
        <v>378</v>
      </c>
      <c r="Z55" s="4" t="s">
        <v>379</v>
      </c>
      <c r="AA55" s="4" t="s">
        <v>380</v>
      </c>
      <c r="AB55" t="str">
        <f t="shared" si="0"/>
        <v>Range("H75:AC75").Value = ThisWorkbook.Sheets("Data Source").Range("W55").Value</v>
      </c>
      <c r="AC55" s="4"/>
      <c r="AD55" s="4"/>
      <c r="AE55" s="4"/>
      <c r="AF55" s="4"/>
    </row>
    <row r="56" spans="1:32">
      <c r="B56" t="s">
        <v>660</v>
      </c>
      <c r="D56" s="4"/>
      <c r="E56" s="4"/>
      <c r="F56" s="4"/>
      <c r="G56" s="4"/>
      <c r="H56" s="4"/>
      <c r="I56" s="4"/>
      <c r="J56" s="4"/>
      <c r="K56" s="4"/>
      <c r="L56" s="4"/>
      <c r="M56" s="4"/>
      <c r="N56" s="4"/>
      <c r="O56" s="4"/>
      <c r="P56" s="4"/>
      <c r="Q56" s="4"/>
      <c r="R56" t="s">
        <v>299</v>
      </c>
      <c r="S56" t="s">
        <v>661</v>
      </c>
      <c r="T56" t="s">
        <v>662</v>
      </c>
      <c r="U56" t="s">
        <v>375</v>
      </c>
      <c r="V56" t="s">
        <v>663</v>
      </c>
      <c r="W56" t="s">
        <v>116</v>
      </c>
      <c r="X56" t="s">
        <v>664</v>
      </c>
      <c r="Y56" s="4" t="s">
        <v>378</v>
      </c>
      <c r="Z56" s="4" t="s">
        <v>379</v>
      </c>
      <c r="AA56" s="4" t="s">
        <v>380</v>
      </c>
      <c r="AB56" t="str">
        <f t="shared" si="0"/>
        <v>Range("H76:AC76").Value = ThisWorkbook.Sheets("Data Source").Range("W56").Value</v>
      </c>
      <c r="AC56" s="4"/>
      <c r="AD56" s="4"/>
      <c r="AE56" s="4"/>
      <c r="AF56" s="4"/>
    </row>
    <row r="57" spans="1:32">
      <c r="D57" s="4"/>
      <c r="E57" s="4"/>
      <c r="F57" s="4"/>
      <c r="G57" s="4"/>
      <c r="H57" s="4"/>
      <c r="I57" s="4"/>
      <c r="J57" s="4"/>
      <c r="K57" s="4"/>
      <c r="L57" s="4"/>
      <c r="M57" s="4"/>
      <c r="N57" s="4"/>
      <c r="O57" s="4"/>
      <c r="P57" s="4"/>
      <c r="Q57" s="4"/>
      <c r="R57" t="s">
        <v>665</v>
      </c>
      <c r="S57" t="s">
        <v>666</v>
      </c>
      <c r="T57" t="s">
        <v>667</v>
      </c>
      <c r="U57" t="s">
        <v>375</v>
      </c>
      <c r="V57" t="s">
        <v>668</v>
      </c>
      <c r="W57" t="s">
        <v>118</v>
      </c>
      <c r="X57" t="s">
        <v>669</v>
      </c>
      <c r="Y57" s="4" t="s">
        <v>378</v>
      </c>
      <c r="Z57" s="4" t="s">
        <v>379</v>
      </c>
      <c r="AA57" s="4" t="s">
        <v>380</v>
      </c>
      <c r="AB57" t="str">
        <f t="shared" si="0"/>
        <v>Range("H77:AC77").Value = ThisWorkbook.Sheets("Data Source").Range("W57").Value</v>
      </c>
      <c r="AC57" s="4"/>
      <c r="AD57" s="4"/>
      <c r="AE57" s="4"/>
      <c r="AF57" s="4"/>
    </row>
    <row r="58" spans="1:32">
      <c r="A58" s="1" t="s">
        <v>670</v>
      </c>
      <c r="B58" t="s">
        <v>671</v>
      </c>
      <c r="D58" s="4"/>
      <c r="E58" s="4"/>
      <c r="F58" s="4"/>
      <c r="G58" s="4"/>
      <c r="H58" s="4"/>
      <c r="I58" s="4"/>
      <c r="J58" s="4"/>
      <c r="K58" s="4"/>
      <c r="L58" s="4"/>
      <c r="M58" s="4"/>
      <c r="N58" s="4"/>
      <c r="O58" s="4"/>
      <c r="P58" s="4"/>
      <c r="Q58" s="4"/>
      <c r="R58" t="s">
        <v>665</v>
      </c>
      <c r="S58" t="s">
        <v>672</v>
      </c>
      <c r="T58" t="s">
        <v>673</v>
      </c>
      <c r="U58" t="s">
        <v>375</v>
      </c>
      <c r="V58" t="s">
        <v>674</v>
      </c>
      <c r="W58">
        <v>1</v>
      </c>
      <c r="X58" t="s">
        <v>675</v>
      </c>
      <c r="Y58" s="4" t="s">
        <v>378</v>
      </c>
      <c r="Z58" s="4" t="s">
        <v>379</v>
      </c>
      <c r="AA58" s="4" t="s">
        <v>380</v>
      </c>
      <c r="AB58" t="str">
        <f t="shared" si="0"/>
        <v>Range("H78:AA78").Value = ThisWorkbook.Sheets("Data Source").Range("W58").Value</v>
      </c>
      <c r="AC58" s="4"/>
      <c r="AD58" s="4"/>
      <c r="AE58" s="4"/>
      <c r="AF58" s="4"/>
    </row>
    <row r="59" spans="1:32">
      <c r="B59" t="s">
        <v>676</v>
      </c>
      <c r="D59" s="4"/>
      <c r="E59" s="4"/>
      <c r="F59" s="4"/>
      <c r="G59" s="4"/>
      <c r="H59" s="4"/>
      <c r="I59" s="4"/>
      <c r="J59" s="4"/>
      <c r="K59" s="4"/>
      <c r="L59" s="4"/>
      <c r="M59" s="4"/>
      <c r="N59" s="4"/>
      <c r="O59" s="4"/>
      <c r="P59" s="4"/>
      <c r="Q59" s="4"/>
      <c r="R59" t="s">
        <v>677</v>
      </c>
      <c r="S59" t="s">
        <v>678</v>
      </c>
      <c r="T59" t="s">
        <v>679</v>
      </c>
      <c r="U59" t="s">
        <v>375</v>
      </c>
      <c r="V59" t="s">
        <v>680</v>
      </c>
      <c r="W59" t="s">
        <v>118</v>
      </c>
      <c r="X59" t="s">
        <v>681</v>
      </c>
      <c r="Y59" s="4" t="s">
        <v>378</v>
      </c>
      <c r="Z59" s="4" t="s">
        <v>379</v>
      </c>
      <c r="AA59" s="4" t="s">
        <v>380</v>
      </c>
      <c r="AB59" t="str">
        <f t="shared" si="0"/>
        <v>Range("H79:AC79").Value = ThisWorkbook.Sheets("Data Source").Range("W59").Value</v>
      </c>
      <c r="AC59" s="4"/>
      <c r="AD59" s="4"/>
      <c r="AE59" s="4"/>
      <c r="AF59" s="4"/>
    </row>
    <row r="60" spans="1:32">
      <c r="R60" t="s">
        <v>682</v>
      </c>
      <c r="S60" t="s">
        <v>683</v>
      </c>
      <c r="T60" t="s">
        <v>684</v>
      </c>
      <c r="U60" t="s">
        <v>375</v>
      </c>
      <c r="V60" t="s">
        <v>685</v>
      </c>
      <c r="W60" t="s">
        <v>122</v>
      </c>
      <c r="X60" t="s">
        <v>686</v>
      </c>
      <c r="Y60" s="4" t="s">
        <v>378</v>
      </c>
      <c r="Z60" s="4" t="s">
        <v>379</v>
      </c>
      <c r="AA60" s="4" t="s">
        <v>380</v>
      </c>
      <c r="AB60" t="str">
        <f t="shared" si="0"/>
        <v>Range("H80:AC80").Value = ThisWorkbook.Sheets("Data Source").Range("W60").Value</v>
      </c>
    </row>
    <row r="61" spans="1:32">
      <c r="A61" t="s">
        <v>324</v>
      </c>
      <c r="B61" t="s">
        <v>687</v>
      </c>
      <c r="H61" s="4"/>
      <c r="I61" s="4"/>
      <c r="J61" s="4"/>
      <c r="K61" s="4"/>
      <c r="L61" s="4"/>
      <c r="M61" s="4"/>
      <c r="N61" s="4"/>
      <c r="O61" s="4"/>
      <c r="P61" s="4"/>
      <c r="Q61" s="4"/>
      <c r="R61" t="s">
        <v>321</v>
      </c>
      <c r="S61" t="s">
        <v>688</v>
      </c>
      <c r="T61" t="s">
        <v>689</v>
      </c>
      <c r="U61" t="s">
        <v>375</v>
      </c>
      <c r="V61" t="s">
        <v>690</v>
      </c>
      <c r="W61" t="s">
        <v>125</v>
      </c>
      <c r="X61" t="s">
        <v>691</v>
      </c>
      <c r="Y61" s="4" t="s">
        <v>378</v>
      </c>
      <c r="Z61" s="4" t="s">
        <v>379</v>
      </c>
      <c r="AA61" s="4" t="s">
        <v>380</v>
      </c>
      <c r="AB61" t="str">
        <f t="shared" si="0"/>
        <v>Range("H81:AC81").Value = ThisWorkbook.Sheets("Data Source").Range("W61").Value</v>
      </c>
      <c r="AC61" s="4"/>
      <c r="AD61" s="4"/>
      <c r="AE61" s="4"/>
      <c r="AF61" s="4"/>
    </row>
    <row r="62" spans="1:32">
      <c r="B62" t="s">
        <v>15</v>
      </c>
      <c r="R62" t="s">
        <v>322</v>
      </c>
      <c r="S62" t="s">
        <v>692</v>
      </c>
      <c r="T62" t="s">
        <v>693</v>
      </c>
      <c r="U62" t="s">
        <v>375</v>
      </c>
      <c r="V62" t="s">
        <v>694</v>
      </c>
      <c r="W62" t="s">
        <v>125</v>
      </c>
      <c r="X62" t="s">
        <v>695</v>
      </c>
      <c r="Y62" s="4" t="s">
        <v>378</v>
      </c>
      <c r="Z62" s="4" t="s">
        <v>379</v>
      </c>
      <c r="AA62" s="4" t="s">
        <v>380</v>
      </c>
      <c r="AB62" t="str">
        <f t="shared" si="0"/>
        <v>Range("H82:AC82").Value = ThisWorkbook.Sheets("Data Source").Range("W62").Value</v>
      </c>
    </row>
    <row r="63" spans="1:32">
      <c r="R63" t="s">
        <v>696</v>
      </c>
      <c r="S63" t="s">
        <v>697</v>
      </c>
      <c r="T63" t="s">
        <v>698</v>
      </c>
      <c r="U63" t="s">
        <v>375</v>
      </c>
      <c r="V63" t="s">
        <v>699</v>
      </c>
      <c r="X63" t="s">
        <v>700</v>
      </c>
      <c r="Y63" s="4" t="s">
        <v>378</v>
      </c>
      <c r="Z63" s="4" t="s">
        <v>379</v>
      </c>
      <c r="AA63" s="4" t="s">
        <v>380</v>
      </c>
      <c r="AB63" t="str">
        <f t="shared" si="0"/>
        <v>Range("D83:AJ87").Value = ThisWorkbook.Sheets("Data Source").Range("W63").Value</v>
      </c>
    </row>
    <row r="64" spans="1:32">
      <c r="A64" t="s">
        <v>227</v>
      </c>
      <c r="B64" t="s">
        <v>49</v>
      </c>
      <c r="S64" t="s">
        <v>701</v>
      </c>
      <c r="T64" t="s">
        <v>702</v>
      </c>
      <c r="U64" t="s">
        <v>375</v>
      </c>
      <c r="V64" t="s">
        <v>703</v>
      </c>
      <c r="X64" t="s">
        <v>704</v>
      </c>
      <c r="Y64" s="4" t="s">
        <v>378</v>
      </c>
      <c r="Z64" s="4" t="s">
        <v>379</v>
      </c>
      <c r="AA64" s="4" t="s">
        <v>380</v>
      </c>
      <c r="AB64" t="str">
        <f t="shared" si="0"/>
        <v>Range("AD20:AJ23").Value = ThisWorkbook.Sheets("Data Source").Range("W64").Value</v>
      </c>
    </row>
    <row r="65" spans="1:32">
      <c r="B65" t="s">
        <v>705</v>
      </c>
      <c r="H65" s="4"/>
      <c r="I65" s="4"/>
      <c r="J65" s="4"/>
      <c r="K65" s="4"/>
      <c r="L65" s="4"/>
      <c r="M65" s="4"/>
      <c r="N65" s="4"/>
      <c r="O65" s="4"/>
      <c r="P65" s="4"/>
      <c r="Q65" s="4"/>
      <c r="R65" s="4"/>
      <c r="S65" t="s">
        <v>706</v>
      </c>
      <c r="T65" s="4" t="s">
        <v>707</v>
      </c>
      <c r="U65" t="s">
        <v>375</v>
      </c>
      <c r="V65" t="s">
        <v>708</v>
      </c>
      <c r="W65" s="4"/>
      <c r="X65" t="s">
        <v>709</v>
      </c>
      <c r="Y65" s="4" t="s">
        <v>378</v>
      </c>
      <c r="Z65" s="4" t="s">
        <v>379</v>
      </c>
      <c r="AA65" s="4" t="s">
        <v>380</v>
      </c>
      <c r="AB65" t="str">
        <f t="shared" si="0"/>
        <v>Range("AD25:AJ32").Value = ThisWorkbook.Sheets("Data Source").Range("W65").Value</v>
      </c>
      <c r="AC65" s="4"/>
      <c r="AD65" s="4"/>
      <c r="AE65" s="4"/>
      <c r="AF65" s="4"/>
    </row>
    <row r="66" spans="1:32">
      <c r="D66" s="4"/>
      <c r="E66" s="4"/>
      <c r="F66" s="4"/>
      <c r="G66" s="4"/>
      <c r="H66" s="4"/>
      <c r="I66" s="4"/>
      <c r="J66" s="4"/>
      <c r="K66" s="4"/>
      <c r="L66" s="4"/>
      <c r="M66" s="4"/>
      <c r="N66" s="4"/>
      <c r="O66" s="4"/>
      <c r="P66" s="4"/>
      <c r="Q66" s="4"/>
      <c r="R66" s="4"/>
      <c r="S66" t="s">
        <v>710</v>
      </c>
      <c r="T66" s="4" t="s">
        <v>711</v>
      </c>
      <c r="U66" t="s">
        <v>375</v>
      </c>
      <c r="V66" t="s">
        <v>712</v>
      </c>
      <c r="X66" t="s">
        <v>713</v>
      </c>
      <c r="Y66" s="4" t="s">
        <v>378</v>
      </c>
      <c r="Z66" s="4" t="s">
        <v>379</v>
      </c>
      <c r="AA66" s="4" t="s">
        <v>380</v>
      </c>
      <c r="AB66" t="str">
        <f>Y66&amp;V66&amp;Z66&amp;X66&amp;AA66</f>
        <v>Range("AD34:AJ38").Value = ThisWorkbook.Sheets("Data Source").Range("W66").Value</v>
      </c>
    </row>
    <row r="67" spans="1:32">
      <c r="A67" t="s">
        <v>513</v>
      </c>
      <c r="B67" t="s">
        <v>49</v>
      </c>
      <c r="D67" s="4"/>
      <c r="E67" s="4"/>
      <c r="F67" s="4"/>
      <c r="G67" s="4"/>
      <c r="H67" s="4"/>
      <c r="I67" s="4"/>
      <c r="J67" s="4"/>
      <c r="K67" s="4"/>
      <c r="L67" s="4"/>
      <c r="M67" s="4"/>
      <c r="N67" s="4"/>
      <c r="O67" s="4"/>
      <c r="P67" s="4"/>
      <c r="Q67" s="4"/>
      <c r="R67" s="4"/>
      <c r="S67" t="s">
        <v>714</v>
      </c>
      <c r="T67" s="4" t="s">
        <v>715</v>
      </c>
      <c r="U67" t="s">
        <v>375</v>
      </c>
      <c r="V67" t="s">
        <v>716</v>
      </c>
      <c r="X67" t="s">
        <v>717</v>
      </c>
      <c r="Y67" s="4" t="s">
        <v>378</v>
      </c>
      <c r="Z67" s="4" t="s">
        <v>379</v>
      </c>
      <c r="AA67" s="4" t="s">
        <v>380</v>
      </c>
      <c r="AB67" t="str">
        <f>Y67&amp;V67&amp;Z67&amp;X67&amp;AA67</f>
        <v>Range("AD40:AJ48").Value = ThisWorkbook.Sheets("Data Source").Range("W67").Value</v>
      </c>
    </row>
    <row r="68" spans="1:32">
      <c r="B68" t="s">
        <v>479</v>
      </c>
      <c r="S68" t="s">
        <v>718</v>
      </c>
      <c r="T68" s="4" t="s">
        <v>719</v>
      </c>
      <c r="U68" t="s">
        <v>375</v>
      </c>
      <c r="V68" t="s">
        <v>720</v>
      </c>
      <c r="X68" t="s">
        <v>721</v>
      </c>
      <c r="Y68" s="4" t="s">
        <v>378</v>
      </c>
      <c r="Z68" s="4" t="s">
        <v>379</v>
      </c>
      <c r="AA68" s="4" t="s">
        <v>380</v>
      </c>
      <c r="AB68" t="str">
        <f>Y68&amp;V68&amp;Z68&amp;X68&amp;AA68</f>
        <v>Range("AD50:AJ59").Value = ThisWorkbook.Sheets("Data Source").Range("W68").Value</v>
      </c>
    </row>
    <row r="69" spans="1:32">
      <c r="B69" t="s">
        <v>485</v>
      </c>
      <c r="H69" s="4"/>
      <c r="I69" s="4"/>
      <c r="J69" s="4"/>
      <c r="K69" s="4"/>
      <c r="L69" s="4"/>
      <c r="M69" s="4"/>
      <c r="N69" s="4"/>
      <c r="O69" s="4"/>
      <c r="P69" s="4"/>
      <c r="Q69" s="4"/>
      <c r="R69" s="4"/>
      <c r="S69" t="s">
        <v>722</v>
      </c>
      <c r="T69" s="4" t="s">
        <v>723</v>
      </c>
      <c r="U69" t="s">
        <v>375</v>
      </c>
      <c r="V69" t="s">
        <v>724</v>
      </c>
      <c r="W69" s="4"/>
      <c r="X69" t="s">
        <v>725</v>
      </c>
      <c r="Y69" s="4" t="s">
        <v>378</v>
      </c>
      <c r="Z69" s="4" t="s">
        <v>379</v>
      </c>
      <c r="AA69" s="4" t="s">
        <v>380</v>
      </c>
      <c r="AB69" t="str">
        <f>Y69&amp;V69&amp;Z69&amp;X69&amp;AA69</f>
        <v>Range("AD61:AJ67").Value = ThisWorkbook.Sheets("Data Source").Range("W69").Value</v>
      </c>
      <c r="AC69" s="4"/>
      <c r="AD69" s="4"/>
      <c r="AE69" s="4"/>
      <c r="AF69" s="4"/>
    </row>
    <row r="70" spans="1:32">
      <c r="H70" s="4"/>
      <c r="I70" s="4"/>
      <c r="J70" s="4"/>
      <c r="K70" s="4"/>
      <c r="L70" s="4"/>
      <c r="M70" s="4"/>
      <c r="N70" s="4"/>
      <c r="O70" s="4"/>
      <c r="P70" s="4"/>
      <c r="Q70" s="4"/>
      <c r="R70" s="4"/>
      <c r="S70" t="s">
        <v>726</v>
      </c>
      <c r="T70" s="4" t="s">
        <v>727</v>
      </c>
      <c r="U70" t="s">
        <v>375</v>
      </c>
      <c r="V70" t="s">
        <v>728</v>
      </c>
      <c r="W70" s="4"/>
      <c r="X70" t="s">
        <v>729</v>
      </c>
      <c r="Y70" s="4" t="s">
        <v>378</v>
      </c>
      <c r="Z70" s="4" t="s">
        <v>379</v>
      </c>
      <c r="AA70" s="4" t="s">
        <v>380</v>
      </c>
      <c r="AB70" t="str">
        <f>Y70&amp;V70&amp;Z70&amp;X70&amp;AA70</f>
        <v>Range("AD69:AJ82").Value = ThisWorkbook.Sheets("Data Source").Range("W70").Value</v>
      </c>
      <c r="AC70" s="4"/>
      <c r="AD70" s="4"/>
      <c r="AE70" s="4"/>
      <c r="AF70" s="4"/>
    </row>
    <row r="71" spans="1:32">
      <c r="A71" t="s">
        <v>175</v>
      </c>
      <c r="B71" t="s">
        <v>49</v>
      </c>
      <c r="H71" s="4"/>
      <c r="I71" s="4"/>
      <c r="J71" s="4"/>
      <c r="K71" s="4"/>
      <c r="L71" s="4"/>
      <c r="M71" s="4"/>
      <c r="N71" s="4"/>
      <c r="O71" s="4"/>
      <c r="P71" s="4"/>
      <c r="Q71" s="4"/>
      <c r="R71" s="4"/>
      <c r="S71" s="4"/>
      <c r="T71" s="4"/>
      <c r="U71" s="4"/>
      <c r="V71" s="4"/>
      <c r="W71" s="4"/>
      <c r="X71" s="4"/>
      <c r="Y71" s="4"/>
      <c r="Z71" s="4"/>
      <c r="AA71" s="4"/>
      <c r="AB71" s="4"/>
      <c r="AC71" s="4"/>
      <c r="AD71" s="4"/>
      <c r="AE71" s="4"/>
      <c r="AF71" s="4"/>
    </row>
    <row r="72" spans="1:32">
      <c r="B72" t="s">
        <v>730</v>
      </c>
      <c r="H72" s="4"/>
      <c r="I72" s="4"/>
      <c r="J72" s="4"/>
      <c r="K72" s="4"/>
      <c r="L72" s="4"/>
      <c r="M72" s="4"/>
      <c r="N72" s="4"/>
      <c r="O72" s="4"/>
      <c r="P72" s="4"/>
      <c r="Q72" s="4"/>
      <c r="R72" s="4"/>
      <c r="S72" s="4"/>
      <c r="T72" s="4"/>
      <c r="U72" s="4"/>
      <c r="V72" s="4"/>
      <c r="W72" s="4"/>
      <c r="X72" s="4"/>
      <c r="Y72" s="4"/>
      <c r="Z72" s="4"/>
      <c r="AA72" s="4"/>
      <c r="AB72" s="4"/>
      <c r="AC72" s="4"/>
      <c r="AD72" s="4"/>
      <c r="AE72" s="4"/>
      <c r="AF72" s="4"/>
    </row>
    <row r="73" spans="1:32">
      <c r="B73" t="s">
        <v>731</v>
      </c>
      <c r="H73" s="4"/>
      <c r="I73" s="4"/>
      <c r="J73" s="4"/>
      <c r="K73" s="4"/>
      <c r="L73" s="4"/>
      <c r="M73" s="4"/>
      <c r="N73" s="4"/>
      <c r="O73" s="4"/>
      <c r="P73" s="4"/>
      <c r="Q73" s="4"/>
      <c r="R73" s="4"/>
      <c r="S73" s="4"/>
      <c r="T73" s="4"/>
      <c r="U73" s="4"/>
      <c r="V73" s="4"/>
      <c r="W73" s="4"/>
      <c r="X73" s="4"/>
      <c r="Y73" s="4"/>
      <c r="Z73" s="4"/>
      <c r="AA73" s="4"/>
      <c r="AB73" s="4"/>
      <c r="AC73" s="4"/>
      <c r="AD73" s="4"/>
      <c r="AE73" s="4"/>
      <c r="AF73" s="4"/>
    </row>
    <row r="74" spans="1:32">
      <c r="H74" s="4"/>
      <c r="I74" s="4"/>
      <c r="J74" s="4"/>
      <c r="K74" s="4"/>
      <c r="L74" s="4"/>
      <c r="M74" s="4"/>
      <c r="N74" s="4"/>
      <c r="O74" s="4"/>
      <c r="P74" s="4"/>
      <c r="Q74" s="4"/>
      <c r="R74" s="4"/>
      <c r="S74" s="4"/>
      <c r="T74" s="4"/>
      <c r="U74" s="4"/>
      <c r="V74" s="4"/>
      <c r="W74" s="4"/>
      <c r="X74" s="4"/>
      <c r="Y74" s="4"/>
      <c r="Z74" s="4"/>
      <c r="AA74" s="4"/>
      <c r="AB74" s="4"/>
      <c r="AC74" s="4"/>
      <c r="AD74" s="4"/>
      <c r="AE74" s="4"/>
      <c r="AF74" s="4"/>
    </row>
    <row r="75" spans="1:32">
      <c r="A75" s="1" t="s">
        <v>732</v>
      </c>
      <c r="B75" t="s">
        <v>60</v>
      </c>
      <c r="H75" s="4"/>
      <c r="I75" s="4"/>
      <c r="J75" s="4"/>
      <c r="K75" s="4"/>
      <c r="L75" s="4"/>
      <c r="M75" s="4"/>
      <c r="N75" s="4"/>
      <c r="O75" s="4"/>
      <c r="P75" s="4"/>
      <c r="Q75" s="4"/>
      <c r="R75" s="4"/>
      <c r="S75" s="4"/>
      <c r="T75" s="4"/>
      <c r="U75" s="4"/>
      <c r="V75" s="4"/>
      <c r="W75" s="4"/>
      <c r="X75" s="4"/>
      <c r="Y75" s="4"/>
      <c r="Z75" s="4"/>
      <c r="AA75" s="4"/>
      <c r="AB75" s="4"/>
      <c r="AC75" s="4"/>
      <c r="AD75" s="4"/>
      <c r="AE75" s="4"/>
      <c r="AF75" s="4"/>
    </row>
    <row r="76" spans="1:32">
      <c r="B76" t="s">
        <v>502</v>
      </c>
      <c r="H76" s="4"/>
      <c r="I76" s="4"/>
      <c r="J76" s="4"/>
      <c r="K76" s="4"/>
      <c r="L76" s="4"/>
      <c r="M76" s="4"/>
      <c r="N76" s="4"/>
      <c r="O76" s="4"/>
      <c r="P76" s="4"/>
      <c r="Q76" s="4"/>
      <c r="R76" s="4"/>
      <c r="S76" s="4"/>
      <c r="T76" s="4"/>
      <c r="U76" s="4"/>
      <c r="V76" s="4"/>
      <c r="W76" s="4"/>
      <c r="X76" s="4"/>
      <c r="Y76" s="4"/>
      <c r="Z76" s="4"/>
      <c r="AA76" s="4"/>
      <c r="AB76" s="4"/>
      <c r="AC76" s="4"/>
      <c r="AD76" s="4"/>
      <c r="AE76" s="4"/>
      <c r="AF76" s="4"/>
    </row>
    <row r="77" spans="1:32">
      <c r="B77" t="s">
        <v>733</v>
      </c>
      <c r="H77" s="4"/>
      <c r="I77" s="4"/>
      <c r="J77" s="4"/>
      <c r="K77" s="4"/>
      <c r="L77" s="4"/>
      <c r="M77" s="4"/>
      <c r="N77" s="4"/>
      <c r="O77" s="4"/>
      <c r="P77" s="4"/>
      <c r="Q77" s="4"/>
      <c r="R77" s="4"/>
      <c r="S77" s="4"/>
      <c r="T77" s="4"/>
      <c r="U77" s="4"/>
      <c r="V77" s="4"/>
      <c r="W77" s="4"/>
      <c r="X77" s="4"/>
      <c r="Y77" s="4"/>
      <c r="Z77" s="4"/>
      <c r="AA77" s="4"/>
      <c r="AB77" s="4"/>
      <c r="AC77" s="4"/>
      <c r="AD77" s="4"/>
      <c r="AE77" s="4"/>
      <c r="AF77" s="4"/>
    </row>
    <row r="78" spans="1:32">
      <c r="H78" s="4"/>
      <c r="I78" s="4"/>
      <c r="J78" s="4"/>
      <c r="K78" s="4"/>
      <c r="L78" s="4"/>
      <c r="M78" s="4"/>
      <c r="N78" s="4"/>
      <c r="O78" s="4"/>
      <c r="P78" s="4"/>
      <c r="Q78" s="4"/>
      <c r="R78" s="4"/>
      <c r="S78" s="4"/>
      <c r="T78" s="4"/>
      <c r="U78" s="4"/>
      <c r="V78" s="4"/>
      <c r="W78" s="4"/>
      <c r="X78" s="4"/>
      <c r="Y78" s="4"/>
      <c r="Z78" s="4"/>
      <c r="AA78" s="4"/>
      <c r="AB78" s="4"/>
      <c r="AC78" s="4"/>
      <c r="AD78" s="4"/>
      <c r="AE78" s="4"/>
      <c r="AF78" s="4"/>
    </row>
    <row r="79" spans="1:32">
      <c r="H79" s="4"/>
      <c r="I79" s="4"/>
      <c r="J79" s="4"/>
      <c r="K79" s="4"/>
      <c r="L79" s="4"/>
      <c r="M79" s="4"/>
      <c r="N79" s="4"/>
      <c r="O79" s="4"/>
      <c r="P79" s="4"/>
      <c r="Q79" s="4"/>
      <c r="R79" s="4"/>
      <c r="S79" s="4"/>
      <c r="T79" s="4"/>
      <c r="U79" s="4"/>
      <c r="V79" s="4"/>
      <c r="W79" s="4"/>
      <c r="X79" s="4"/>
      <c r="Y79" s="4"/>
      <c r="Z79" s="4"/>
      <c r="AA79" s="4"/>
      <c r="AB79" s="4"/>
      <c r="AC79" s="4"/>
      <c r="AD79" s="4"/>
      <c r="AE79" s="4"/>
      <c r="AF79" s="4"/>
    </row>
    <row r="80" spans="1:32">
      <c r="H80" s="4"/>
      <c r="I80" s="4"/>
      <c r="J80" s="4"/>
      <c r="K80" s="4"/>
      <c r="L80" s="4"/>
      <c r="M80" s="4"/>
      <c r="N80" s="4"/>
      <c r="O80" s="4"/>
      <c r="P80" s="4"/>
      <c r="Q80" s="4"/>
      <c r="R80" s="4"/>
      <c r="S80" s="4"/>
      <c r="T80" s="4"/>
      <c r="U80" s="4"/>
      <c r="V80" s="4"/>
      <c r="W80" s="4"/>
      <c r="X80" s="4"/>
      <c r="Y80" s="4"/>
      <c r="Z80" s="4"/>
      <c r="AA80" s="4"/>
      <c r="AB80" s="4"/>
      <c r="AC80" s="4"/>
      <c r="AD80" s="4"/>
      <c r="AE80" s="4"/>
      <c r="AF80" s="4"/>
    </row>
    <row r="81" spans="8:32">
      <c r="H81" s="4"/>
      <c r="I81" s="4"/>
      <c r="J81" s="4"/>
      <c r="K81" s="4"/>
      <c r="L81" s="4"/>
      <c r="M81" s="4"/>
      <c r="N81" s="4"/>
      <c r="O81" s="4"/>
      <c r="P81" s="4"/>
      <c r="Q81" s="4"/>
      <c r="R81" s="4"/>
      <c r="S81" s="4"/>
      <c r="T81" s="4"/>
      <c r="U81" s="4"/>
      <c r="V81" s="4"/>
      <c r="W81" s="4"/>
      <c r="X81" s="4"/>
      <c r="Y81" s="4"/>
      <c r="Z81" s="4"/>
      <c r="AA81" s="4"/>
      <c r="AB81" s="4"/>
      <c r="AC81" s="4"/>
      <c r="AD81" s="4"/>
      <c r="AE81" s="4"/>
      <c r="AF81" s="4"/>
    </row>
    <row r="82" spans="8:32">
      <c r="H82" s="4"/>
      <c r="I82" s="4"/>
      <c r="J82" s="4"/>
      <c r="K82" s="4"/>
      <c r="L82" s="4"/>
      <c r="M82" s="4"/>
      <c r="N82" s="4"/>
      <c r="O82" s="4"/>
      <c r="P82" s="4"/>
      <c r="Q82" s="4"/>
      <c r="R82" s="4"/>
      <c r="S82" s="4"/>
      <c r="T82" s="4"/>
      <c r="U82" s="4"/>
      <c r="V82" s="4"/>
      <c r="W82" s="4"/>
      <c r="X82" s="4"/>
      <c r="Y82" s="4"/>
      <c r="Z82" s="4"/>
      <c r="AA82" s="4"/>
      <c r="AB82" s="4"/>
      <c r="AC82" s="4"/>
      <c r="AD82" s="4"/>
      <c r="AE82" s="4"/>
      <c r="AF82" s="4"/>
    </row>
    <row r="83" spans="8:32">
      <c r="H83" s="4"/>
      <c r="I83" s="4"/>
      <c r="J83" s="4"/>
      <c r="K83" s="4"/>
      <c r="L83" s="4"/>
      <c r="M83" s="4"/>
      <c r="N83" s="4"/>
      <c r="O83" s="4"/>
      <c r="P83" s="4"/>
      <c r="Q83" s="4"/>
      <c r="R83" s="4"/>
      <c r="S83" s="4"/>
      <c r="T83" s="4"/>
      <c r="U83" s="4"/>
      <c r="V83" s="4"/>
      <c r="W83" s="4"/>
      <c r="X83" s="4"/>
      <c r="Y83" s="4"/>
      <c r="Z83" s="4"/>
      <c r="AA83" s="4"/>
      <c r="AB83" s="4"/>
      <c r="AC83" s="4"/>
      <c r="AD83" s="4"/>
      <c r="AE83" s="4"/>
      <c r="AF83" s="4"/>
    </row>
  </sheetData>
  <sheetProtection algorithmName="SHA-512" hashValue="kgn/NsRkJP3usvf6PmseJtiGOyuXeNLZt1D6u0wGbwfgV7gxBsjPWS/mslNR/OAQ6rvX4eVjh5MSNdV2f9t12g==" saltValue="uXLv0o8fPkD9orTJlw08+w==" spinCount="100000" sheet="1" selectLockedCells="1" selectUnlockedCells="1" objects="1" scenarios="1"/>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3" master="" otherUserPermission="visible"/>
  <rangeList sheetStid="4"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vt:i4>
      </vt:variant>
    </vt:vector>
  </HeadingPairs>
  <TitlesOfParts>
    <vt:vector size="3" baseType="lpstr">
      <vt:lpstr>Sheet1</vt:lpstr>
      <vt:lpstr>ku</vt:lpstr>
      <vt:lpstr>Data Source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张傲星</dc:creator>
  <cp:lastModifiedBy>徐洪</cp:lastModifiedBy>
  <dcterms:created xsi:type="dcterms:W3CDTF">2023-05-12T11:15:00Z</dcterms:created>
  <cp:lastPrinted>2026-04-25T13:20:00Z</cp:lastPrinted>
  <dcterms:modified xsi:type="dcterms:W3CDTF">2026-05-15T23:39:39Z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2052-12.1.0.25865</vt:lpwstr>
  </property>
  <property fmtid="{D5CDD505-2E9C-101B-9397-08002B2CF9AE}" pid="3" name="ICV">
    <vt:lpwstr>75D1E869A5E84A32AAD4D96201CB2799_13</vt:lpwstr>
  </property>
  <property fmtid="{D5CDD505-2E9C-101B-9397-08002B2CF9AE}" pid="4" name="KSOReadingLayout">
    <vt:bool>true</vt:bool>
  </property>
  <property fmtid="{D5CDD505-2E9C-101B-9397-08002B2CF9AE}" pid="5" name="CalculationRule">
    <vt:i4>0</vt:i4>
  </property>
</Properties>
</file>